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Calculations" sheetId="2" r:id="rId2"/>
    <sheet name="Cash_Flows" sheetId="3" r:id="rId3"/>
    <sheet name="Results" sheetId="4" r:id="rId4"/>
    <sheet name="Sensitivity" sheetId="5" r:id="rId5"/>
    <sheet name="UOS_Analysis" sheetId="6" r:id="rId6"/>
    <sheet name="Library_Data" sheetId="7" r:id="rId7"/>
    <sheet name="Methodology" sheetId="8" r:id="rId8"/>
    <sheet name="VBA_Instructions" sheetId="9" r:id="rId9"/>
  </sheets>
  <definedNames>
    <definedName name="Build_Schedule">Inputs!$C$20:$E$29</definedName>
    <definedName name="Discount_Rate">Inputs!$C16</definedName>
    <definedName name="Learning_Rate">Inputs!$C81</definedName>
  </definedNames>
  <calcPr calcId="124519" fullCalcOnLoad="1"/>
</workbook>
</file>

<file path=xl/sharedStrings.xml><?xml version="1.0" encoding="utf-8"?>
<sst xmlns="http://schemas.openxmlformats.org/spreadsheetml/2006/main" count="871" uniqueCount="545">
  <si>
    <t>BESS Economic Analyzer — JIT Cohort Model</t>
  </si>
  <si>
    <t>Version 2.0  |  February 2026  |  For Electric Utility Engineering &amp; Finance</t>
  </si>
  <si>
    <t>ASSUMPTION LIBRARY</t>
  </si>
  <si>
    <t>Selected Library</t>
  </si>
  <si>
    <t>NREL ATB 2024 - Moderate Scenario</t>
  </si>
  <si>
    <t>↑ Overrides defaults below</t>
  </si>
  <si>
    <t>Options: NREL ATB 2024 - Moderate Scenario | Lazard LCOS v10.0 - 2025 | CPUC California 2024</t>
  </si>
  <si>
    <t>PROJECT BASICS</t>
  </si>
  <si>
    <t>Project Name</t>
  </si>
  <si>
    <t>My BESS Project</t>
  </si>
  <si>
    <t>Descriptive project name</t>
  </si>
  <si>
    <t>Project ID</t>
  </si>
  <si>
    <t>BESS-001</t>
  </si>
  <si>
    <t>Unique identifier for tracking</t>
  </si>
  <si>
    <t>Location / Market</t>
  </si>
  <si>
    <t>CAISO NP15</t>
  </si>
  <si>
    <t>ISO zone or substation name</t>
  </si>
  <si>
    <t>Total Capacity (MW)</t>
  </si>
  <si>
    <t>Auto-summed from Build Schedule</t>
  </si>
  <si>
    <t>Duration (hours)</t>
  </si>
  <si>
    <t>1–8 hrs typical utility-scale</t>
  </si>
  <si>
    <t>Total Energy (MWh)</t>
  </si>
  <si>
    <t>Auto-calculated</t>
  </si>
  <si>
    <t>Analysis Period (years)</t>
  </si>
  <si>
    <t>15–25 yrs typical</t>
  </si>
  <si>
    <t>Discount Rate (WACC)</t>
  </si>
  <si>
    <t>6–10% utility; 8–12% merchant</t>
  </si>
  <si>
    <t>Ownership Type</t>
  </si>
  <si>
    <t>Utility</t>
  </si>
  <si>
    <t>"Utility" or "Merchant"</t>
  </si>
  <si>
    <t>PHASED BUILD SCHEDULE  (JIT Cohort Model)</t>
  </si>
  <si>
    <t>Cohort</t>
  </si>
  <si>
    <t>COD Year</t>
  </si>
  <si>
    <t>Capacity (MW)</t>
  </si>
  <si>
    <t>ITC Rate (%)</t>
  </si>
  <si>
    <t>Tranche 1</t>
  </si>
  <si>
    <t>Tranche 2</t>
  </si>
  <si>
    <t>Tranche 3</t>
  </si>
  <si>
    <t>Tranche 4</t>
  </si>
  <si>
    <t>Tranche 5</t>
  </si>
  <si>
    <t>Tranche 6</t>
  </si>
  <si>
    <t>Tranche 7</t>
  </si>
  <si>
    <t>Tranche 8</t>
  </si>
  <si>
    <t>Tranche 9</t>
  </si>
  <si>
    <t>Tranche 10</t>
  </si>
  <si>
    <t>T&amp;D CAPITAL DEFERRAL  |  PV = K × [1 − ((1+g)/(1+r))^n]</t>
  </si>
  <si>
    <t>Deferred Capital Cost (K)</t>
  </si>
  <si>
    <t>Total traditional wires capital cost deferred ($)</t>
  </si>
  <si>
    <t>Year Asset Needed (t_need)</t>
  </si>
  <si>
    <t>Calendar year the T&amp;D asset would otherwise be needed</t>
  </si>
  <si>
    <t>Deferral Period (n years)</t>
  </si>
  <si>
    <t>Number of years the traditional investment is deferred</t>
  </si>
  <si>
    <t>Load Growth Rate (g)</t>
  </si>
  <si>
    <t>Annual growth / inflation of the deferred capital cost</t>
  </si>
  <si>
    <t>PV of Deferral Benefit ($)</t>
  </si>
  <si>
    <t>Present value of the T&amp;D deferral benefit — added to Results</t>
  </si>
  <si>
    <t>TECHNOLOGY SPECIFICATIONS</t>
  </si>
  <si>
    <t>Battery Chemistry</t>
  </si>
  <si>
    <t>LFP</t>
  </si>
  <si>
    <t>LFP (default) | NMC | Other</t>
  </si>
  <si>
    <t>Round-Trip Efficiency (RTE)</t>
  </si>
  <si>
    <t>AC-AC efficiency including inverter losses (70–95%)</t>
  </si>
  <si>
    <t>Annual Degradation Rate</t>
  </si>
  <si>
    <t>Capacity loss per year; 2.5% typical for LFP</t>
  </si>
  <si>
    <t>Cycle Life (full cycles)</t>
  </si>
  <si>
    <t>Number of full-depth cycles before end-of-life</t>
  </si>
  <si>
    <t>Augmentation Year</t>
  </si>
  <si>
    <t>Year battery modules are replaced; typically 10–12</t>
  </si>
  <si>
    <t>Cycles per Day</t>
  </si>
  <si>
    <t>Average daily full charge-discharge cycles (0.1–3.0)</t>
  </si>
  <si>
    <t>COST INPUTS — BESS</t>
  </si>
  <si>
    <t>CapEx ($/kWh)</t>
  </si>
  <si>
    <t>$130–200/kWh utility-scale LFP</t>
  </si>
  <si>
    <t>Fixed O&amp;M ($/kW-year)</t>
  </si>
  <si>
    <t>Site maintenance, monitoring, security</t>
  </si>
  <si>
    <t>Variable O&amp;M ($/MWh)</t>
  </si>
  <si>
    <t>Per-MWh discharge cost; often $0 for LFP</t>
  </si>
  <si>
    <t>Augmentation Cost ($/kWh)</t>
  </si>
  <si>
    <t>Battery module replacement; learning-curve adjusted</t>
  </si>
  <si>
    <t>Decommissioning ($/kW)</t>
  </si>
  <si>
    <t>End-of-life removal and site restoration</t>
  </si>
  <si>
    <t>Charging Cost ($/MWh)</t>
  </si>
  <si>
    <t>Grid electricity cost for charging cycles</t>
  </si>
  <si>
    <t>Residual Value (% of CapEx)</t>
  </si>
  <si>
    <t>Salvage value at end of analysis period</t>
  </si>
  <si>
    <t>INVESTMENT TAX CREDIT — BESS-Specific (IRA 2022)</t>
  </si>
  <si>
    <t>ITC Base Rate</t>
  </si>
  <si>
    <t>30% base rate for standalone storage under IRA</t>
  </si>
  <si>
    <t>ITC Adders</t>
  </si>
  <si>
    <t>Energy community +10%, Domestic content +10%, Low-income +10–20%</t>
  </si>
  <si>
    <t>INFRASTRUCTURE COSTS — Common to All Utility Projects</t>
  </si>
  <si>
    <t>Interconnection ($/kW)</t>
  </si>
  <si>
    <t>Network upgrades, studies, metering</t>
  </si>
  <si>
    <t>Land ($/kW)</t>
  </si>
  <si>
    <t>Site acquisition or capitalized lease</t>
  </si>
  <si>
    <t>Permitting ($/kW)</t>
  </si>
  <si>
    <t>Environmental review, permits, legal</t>
  </si>
  <si>
    <t>Insurance (% of CapEx)</t>
  </si>
  <si>
    <t>Annual property &amp; liability insurance</t>
  </si>
  <si>
    <t>Property Tax (% of book)</t>
  </si>
  <si>
    <t>Annual property tax on net book value</t>
  </si>
  <si>
    <t>FINANCING STRUCTURE  (overrides Discount Rate for WACC)</t>
  </si>
  <si>
    <t>Debt Financing (%)</t>
  </si>
  <si>
    <t>60% debt / 40% equity typical utility</t>
  </si>
  <si>
    <t>Interest Rate on Debt</t>
  </si>
  <si>
    <t>Annual debt interest rate</t>
  </si>
  <si>
    <t>Loan Term (years)</t>
  </si>
  <si>
    <t>Amortization period</t>
  </si>
  <si>
    <t>Cost of Equity</t>
  </si>
  <si>
    <t>Required equity return</t>
  </si>
  <si>
    <t>Corporate Tax Rate</t>
  </si>
  <si>
    <t>21% federal; add state if applicable</t>
  </si>
  <si>
    <t>Calculated WACC</t>
  </si>
  <si>
    <t>WACC = (E/V)×Re + (D/V)×Rd×(1-Tc)  — use this as Discount Rate</t>
  </si>
  <si>
    <t>ANNUAL BENEFIT STREAMS  ($/kW-year, Year 1)</t>
  </si>
  <si>
    <t>Benefit Name</t>
  </si>
  <si>
    <t>$/kW-yr (Y1)</t>
  </si>
  <si>
    <t>Escalation/yr</t>
  </si>
  <si>
    <t>Category</t>
  </si>
  <si>
    <t>Source</t>
  </si>
  <si>
    <t>Resource Adequacy</t>
  </si>
  <si>
    <t>Common</t>
  </si>
  <si>
    <t>CPUC RA Program D.24-06-050</t>
  </si>
  <si>
    <t>Energy Arbitrage</t>
  </si>
  <si>
    <t>CAISO OASIS historical LMPs</t>
  </si>
  <si>
    <t>Ancillary Services</t>
  </si>
  <si>
    <t>CAISO AS market data</t>
  </si>
  <si>
    <t>T&amp;D Deferral</t>
  </si>
  <si>
    <t>CPUC Avoided Cost Calculator</t>
  </si>
  <si>
    <t>Resilience Value</t>
  </si>
  <si>
    <t>LBNL ICE Calculator</t>
  </si>
  <si>
    <t>Renewable Integration</t>
  </si>
  <si>
    <t>BESS-Specific</t>
  </si>
  <si>
    <t>CAISO Curtailment Reports</t>
  </si>
  <si>
    <t>GHG Emissions Value</t>
  </si>
  <si>
    <t>EPA Social Cost of Carbon</t>
  </si>
  <si>
    <t>Voltage Support</t>
  </si>
  <si>
    <t>EPRI Distribution Studies</t>
  </si>
  <si>
    <t>COST PROJECTIONS — Technology Learning Curve</t>
  </si>
  <si>
    <t>Annual Cost Decline Rate</t>
  </si>
  <si>
    <t>12% per NREL ATB 2024 — applied to augmentation &amp; multi-tranche CapEx</t>
  </si>
  <si>
    <t>Cost Base Year</t>
  </si>
  <si>
    <t>Reference year for base CapEx and augmentation costs</t>
  </si>
  <si>
    <t>CALCULATION ENGINE — Cohort-Based SUMPRODUCT Formulas</t>
  </si>
  <si>
    <t>COHORT-BASED COST AGGREGATION</t>
  </si>
  <si>
    <t>Total Capacity (kW)</t>
  </si>
  <si>
    <t>Sum of all online cohort capacities in kW</t>
  </si>
  <si>
    <t>Total Energy (kWh)</t>
  </si>
  <si>
    <t>Total energy capacity kWh</t>
  </si>
  <si>
    <t>Total Battery CapEx ($)</t>
  </si>
  <si>
    <t>Cohort CapEx with learning-curve adjustment by COD year</t>
  </si>
  <si>
    <t>Total ITC Credit ($)</t>
  </si>
  <si>
    <t>ITC credit per cohort based on its learning-curve-adjusted CapEx</t>
  </si>
  <si>
    <t>Net Year-0 Battery Cost ($)</t>
  </si>
  <si>
    <t>Total CapEx minus ITC (before infrastructure costs)</t>
  </si>
  <si>
    <t>Infrastructure Costs ($)</t>
  </si>
  <si>
    <t>Interconnection + land + permitting (one-time, Year 0)</t>
  </si>
  <si>
    <t>Total Net Year-0 Cost ($)</t>
  </si>
  <si>
    <t>Battery net cost + infrastructure</t>
  </si>
  <si>
    <t>Annual Fixed O&amp;M ($)</t>
  </si>
  <si>
    <t>Fixed O&amp;M when all tranches are online</t>
  </si>
  <si>
    <t>Annual Charging Cost ($)</t>
  </si>
  <si>
    <t>Annual electricity cost for charging (all tranches online)</t>
  </si>
  <si>
    <t>Annual Insurance ($)</t>
  </si>
  <si>
    <t>Insurance = total CapEx × insurance rate</t>
  </si>
  <si>
    <t>Augmentation Cost (Year {aug_yr}) ($)</t>
  </si>
  <si>
    <t>Augmentation adjusted for learning curve</t>
  </si>
  <si>
    <t>Annual Cash Flow Projections — Cohort-Aggregated</t>
  </si>
  <si>
    <t>Year</t>
  </si>
  <si>
    <t>CapEx
(net ITC)</t>
  </si>
  <si>
    <t>Fixed O&amp;M</t>
  </si>
  <si>
    <t>Charging</t>
  </si>
  <si>
    <t>Augment</t>
  </si>
  <si>
    <t>Infra</t>
  </si>
  <si>
    <t>Total
Costs</t>
  </si>
  <si>
    <t>PV Costs</t>
  </si>
  <si>
    <t>Total
Benefits</t>
  </si>
  <si>
    <t>PV
Benefits</t>
  </si>
  <si>
    <t>Net CF</t>
  </si>
  <si>
    <t>PV Net CF</t>
  </si>
  <si>
    <t>Cumul CF</t>
  </si>
  <si>
    <t>Energy
(MWh)</t>
  </si>
  <si>
    <t>TOTALS / PV SUM</t>
  </si>
  <si>
    <t>BESS Economic Analysis — Results Dashboard</t>
  </si>
  <si>
    <t>Project: [auto from Inputs!C9]  |  Analysis Date: February 20, 2026</t>
  </si>
  <si>
    <t>KEY FINANCIAL METRICS</t>
  </si>
  <si>
    <t>Metric</t>
  </si>
  <si>
    <t>Value</t>
  </si>
  <si>
    <t>Benchmark</t>
  </si>
  <si>
    <t>Interpretation</t>
  </si>
  <si>
    <t>Net Present Value (NPV)</t>
  </si>
  <si>
    <t>&gt; $0</t>
  </si>
  <si>
    <t>Positive NPV creates shareholder/ratepayer value</t>
  </si>
  <si>
    <t>T&amp;D Deferral PV</t>
  </si>
  <si>
    <t>—</t>
  </si>
  <si>
    <t>Present value of deferred T&amp;D capital investment</t>
  </si>
  <si>
    <t>Total Project Value</t>
  </si>
  <si>
    <t>NPV inclusive of T&amp;D deferral benefit</t>
  </si>
  <si>
    <t>Benefit-Cost Ratio (BCR)</t>
  </si>
  <si>
    <t>≥ 1.0 approve</t>
  </si>
  <si>
    <t>≥1.5 strong | 1.0–1.5 marginal | &lt;1.0 reject (CPUC SPM)</t>
  </si>
  <si>
    <t>Internal Rate of Return (IRR)</t>
  </si>
  <si>
    <t>&gt; WACC</t>
  </si>
  <si>
    <t>IRR &gt; WACC creates value above cost of capital</t>
  </si>
  <si>
    <t>Simple Payback (years)</t>
  </si>
  <si>
    <t>&lt; 10 yrs</t>
  </si>
  <si>
    <t>&lt; 7 yrs strong; 7–10 acceptable; &gt; 10 yrs challenging</t>
  </si>
  <si>
    <t>LCOS ($/MWh)</t>
  </si>
  <si>
    <t>$100–200/MWh</t>
  </si>
  <si>
    <t>Levelized cost per MWh discharged (Lazard methodology)</t>
  </si>
  <si>
    <t>Breakeven CapEx ($/kWh)</t>
  </si>
  <si>
    <t>&gt; CapEx input</t>
  </si>
  <si>
    <t>Max CapEx where BCR = 1.0 (margin of safety)</t>
  </si>
  <si>
    <t>PROJECT SUMMARY</t>
  </si>
  <si>
    <t>Duration (hrs)</t>
  </si>
  <si>
    <t>Analysis Period</t>
  </si>
  <si>
    <t>Discount Rate</t>
  </si>
  <si>
    <t>WACC (Financing)</t>
  </si>
  <si>
    <t>ITC Rate</t>
  </si>
  <si>
    <t>SENSITIVITY ANALYSIS — Tornado Chart Parameters</t>
  </si>
  <si>
    <t>Each row shows the base case and ±20% deviation for one input parameter. Recalculate NPV in Python GUI for exact values; Excel shows analytical estimates.</t>
  </si>
  <si>
    <t>PARAMETER SENSITIVITY TABLE</t>
  </si>
  <si>
    <t>Parameter</t>
  </si>
  <si>
    <t>Low Case</t>
  </si>
  <si>
    <t>Base Case</t>
  </si>
  <si>
    <t>High Case</t>
  </si>
  <si>
    <t>Low NPV (est.)</t>
  </si>
  <si>
    <t>Base NPV</t>
  </si>
  <si>
    <t>High NPV (est.)</t>
  </si>
  <si>
    <t>Inputs!C46 × 0.80  (−20% CapEx)</t>
  </si>
  <si>
    <t>Inputs!C46 × 1.20  (+20% CapEx)</t>
  </si>
  <si>
    <t>← run Python GUI for exact</t>
  </si>
  <si>
    <t>Inputs!C16 × 0.80  (−20% rate)</t>
  </si>
  <si>
    <t>Inputs!C16 × 1.20  (+20% rate)</t>
  </si>
  <si>
    <t>Resource Adequacy ($/kW-yr)</t>
  </si>
  <si>
    <t>Inputs!C72 × 0.75  (−25% RA)</t>
  </si>
  <si>
    <t>Inputs!C72 × 1.25  (+25% RA)</t>
  </si>
  <si>
    <t>Learning Rate</t>
  </si>
  <si>
    <t>Inputs!C81 × 0.42  (5% rate)</t>
  </si>
  <si>
    <t>Inputs!C81 × 1.25  (15% rate)</t>
  </si>
  <si>
    <t>Round-Trip Efficiency</t>
  </si>
  <si>
    <t>Inputs!C40 × 0.90  (−10% RTE)</t>
  </si>
  <si>
    <t>Inputs!C40 × 1.05  (+5% RTE)</t>
  </si>
  <si>
    <t>Analysis Period (yrs)</t>
  </si>
  <si>
    <t>Inputs!C15 × 0.80  (−20% years)</t>
  </si>
  <si>
    <t>Inputs!C15 × 1.20  (+20% years)</t>
  </si>
  <si>
    <t>Inputs!C54 × 0.67  (No adders)</t>
  </si>
  <si>
    <t>Inputs!C54 × 1.00  (+10% adder)</t>
  </si>
  <si>
    <t>Fixed O&amp;M ($/kW-yr)</t>
  </si>
  <si>
    <t>Inputs!C47 × 0.80  (−20% O&amp;M)</t>
  </si>
  <si>
    <t>Inputs!C47 × 1.20  (+20% O&amp;M)</t>
  </si>
  <si>
    <t>HOW TO READ A TORNADO CHART</t>
  </si>
  <si>
    <t>• Parameters are sorted by impact (longest bar = highest sensitivity)</t>
  </si>
  <si>
    <t>• Bars extending left (negative) show parameters where increase hurts NPV</t>
  </si>
  <si>
    <t>• CapEx and Discount Rate typically dominate BESS sensitivity</t>
  </si>
  <si>
    <t>• RA value is the largest single benefit driver in capacity-constrained markets</t>
  </si>
  <si>
    <t>• Use the Python GUI → Sensitivity tab for exact recalculations and chart export</t>
  </si>
  <si>
    <t>RECOMMENDED SCENARIO RANGES</t>
  </si>
  <si>
    <t>Low</t>
  </si>
  <si>
    <t>Base</t>
  </si>
  <si>
    <t>High</t>
  </si>
  <si>
    <t>$130</t>
  </si>
  <si>
    <t>$160</t>
  </si>
  <si>
    <t>$200</t>
  </si>
  <si>
    <t>NREL ATB 2024</t>
  </si>
  <si>
    <t>6.0%</t>
  </si>
  <si>
    <t>7.0%</t>
  </si>
  <si>
    <t>9.0%</t>
  </si>
  <si>
    <t>CPUC authorized WACC range</t>
  </si>
  <si>
    <t>$120/kW</t>
  </si>
  <si>
    <t>$150/kW</t>
  </si>
  <si>
    <t>$200/kW</t>
  </si>
  <si>
    <t>CPUC RA decisions</t>
  </si>
  <si>
    <t>5%</t>
  </si>
  <si>
    <t>12%</t>
  </si>
  <si>
    <t>15%</t>
  </si>
  <si>
    <t>BNEF / NREL ATB</t>
  </si>
  <si>
    <t>Degradation Rate</t>
  </si>
  <si>
    <t>1.5%</t>
  </si>
  <si>
    <t>2.5%</t>
  </si>
  <si>
    <t>3.5%</t>
  </si>
  <si>
    <t>Manufacturer data</t>
  </si>
  <si>
    <t>15</t>
  </si>
  <si>
    <t>20</t>
  </si>
  <si>
    <t>25</t>
  </si>
  <si>
    <t>Utility planning horizon</t>
  </si>
  <si>
    <t>UTILITY-OWNED STORAGE (UOS) — Revenue Requirement Analysis</t>
  </si>
  <si>
    <t>Per CPUC D.25-12-003 (SCE 2026-2028 Cost of Capital) | Populate from Python GUI or override below.</t>
  </si>
  <si>
    <t>COST OF CAPITAL  (D.25-12-003 SCE Defaults)</t>
  </si>
  <si>
    <t>Default</t>
  </si>
  <si>
    <t>Notes</t>
  </si>
  <si>
    <t>Return on Equity (ROE)</t>
  </si>
  <si>
    <t>10.03%</t>
  </si>
  <si>
    <t>Cost of Debt</t>
  </si>
  <si>
    <t>4.71%</t>
  </si>
  <si>
    <t>Cost of Preferred</t>
  </si>
  <si>
    <t>5.48%</t>
  </si>
  <si>
    <t>Equity Ratio</t>
  </si>
  <si>
    <t>52.00%</t>
  </si>
  <si>
    <t>Debt Ratio</t>
  </si>
  <si>
    <t>43.47%</t>
  </si>
  <si>
    <t>Preferred Ratio</t>
  </si>
  <si>
    <t>4.53%</t>
  </si>
  <si>
    <t>Authorized ROR</t>
  </si>
  <si>
    <t>7.59%</t>
  </si>
  <si>
    <t>Federal Tax Rate</t>
  </si>
  <si>
    <t>21.00%</t>
  </si>
  <si>
    <t>State Tax Rate (CA)</t>
  </si>
  <si>
    <t>8.84%</t>
  </si>
  <si>
    <t>Property Tax Rate</t>
  </si>
  <si>
    <t>1.00%</t>
  </si>
  <si>
    <t>Per D.25-12-003</t>
  </si>
  <si>
    <t>Composite: T_state + T_fed×(1-T_state)</t>
  </si>
  <si>
    <t>RATE BASE INPUTS</t>
  </si>
  <si>
    <t>Book Life (years)</t>
  </si>
  <si>
    <t>Straight-line depreciation life</t>
  </si>
  <si>
    <t>MACRS Property Class</t>
  </si>
  <si>
    <t>7-year MACRS for utility storage</t>
  </si>
  <si>
    <t>Bonus Depreciation (%)</t>
  </si>
  <si>
    <t>IRA bonus depreciation if applicable</t>
  </si>
  <si>
    <t>Gross Plant (from Inputs)</t>
  </si>
  <si>
    <t>Battery CapEx + infrastructure</t>
  </si>
  <si>
    <t>ITC Amount</t>
  </si>
  <si>
    <t>ITC applied to battery CapEx only</t>
  </si>
  <si>
    <t>Annual O&amp;M</t>
  </si>
  <si>
    <t>Fixed O&amp;M from Inputs sheet</t>
  </si>
  <si>
    <t>REVENUE REQUIREMENT SCHEDULE  (populate via Python GUI)</t>
  </si>
  <si>
    <t>Gross Plant</t>
  </si>
  <si>
    <t>Book Depr</t>
  </si>
  <si>
    <t>Tax Depr (MACRS)</t>
  </si>
  <si>
    <t>ADIT</t>
  </si>
  <si>
    <t>Net Rate Base</t>
  </si>
  <si>
    <t>Return on RB</t>
  </si>
  <si>
    <t>Income Tax</t>
  </si>
  <si>
    <t>Property Tax</t>
  </si>
  <si>
    <t>O&amp;M</t>
  </si>
  <si>
    <t>Revenue Req.</t>
  </si>
  <si>
    <t>WIRES vs. NON-WIRES ALTERNATIVE (NWA) COMPARISON</t>
  </si>
  <si>
    <t>Traditional Wires Cost ($/kW)</t>
  </si>
  <si>
    <t>Cost per kW of traditional T&amp;D infrastructure upgrade</t>
  </si>
  <si>
    <t>Wires Book Life (years)</t>
  </si>
  <si>
    <t>Wires Lead Time (years)</t>
  </si>
  <si>
    <t>NWA Deferral Years</t>
  </si>
  <si>
    <t>NWA Incrementality Adjustment</t>
  </si>
  <si>
    <t>Yes</t>
  </si>
  <si>
    <t>Apply incrementality adjustment per CPUC NWA framework</t>
  </si>
  <si>
    <t>SLICE-OF-DAY (SOD) FEASIBILITY</t>
  </si>
  <si>
    <t>Min Qualifying Hours (SOD)</t>
  </si>
  <si>
    <t>Minimum hours of discharge to qualify for RA (typically 4h)</t>
  </si>
  <si>
    <t>Deration Threshold</t>
  </si>
  <si>
    <t>Minimum capacity factor to maintain SOD qualification</t>
  </si>
  <si>
    <t>SOD Feasibility Result</t>
  </si>
  <si>
    <t>← Run Python GUI for SOD check</t>
  </si>
  <si>
    <t>ASSUMPTION LIBRARIES — Comparison of NREL | Lazard | CPUC</t>
  </si>
  <si>
    <t>Source data embedded from JSON libraries.  Select a library on the Inputs sheet to auto-apply.</t>
  </si>
  <si>
    <t>LIBRARY OVERVIEW</t>
  </si>
  <si>
    <t>NREL ATB 2024
Moderate</t>
  </si>
  <si>
    <t>Lazard LCOS
v10.0 (2025)</t>
  </si>
  <si>
    <t>CPUC California
2024</t>
  </si>
  <si>
    <t>Guidance</t>
  </si>
  <si>
    <t>VERSION</t>
  </si>
  <si>
    <t>Version</t>
  </si>
  <si>
    <t>2024.2</t>
  </si>
  <si>
    <t>10.1</t>
  </si>
  <si>
    <t>Published</t>
  </si>
  <si>
    <t>2024-04-15</t>
  </si>
  <si>
    <t>2025-03-01</t>
  </si>
  <si>
    <t>2024-11-01</t>
  </si>
  <si>
    <t>NREL ATB</t>
  </si>
  <si>
    <t>Lazard LCOS</t>
  </si>
  <si>
    <t>CPUC/E3 ACC</t>
  </si>
  <si>
    <t>TECHNOLOGY</t>
  </si>
  <si>
    <t>Chemistry</t>
  </si>
  <si>
    <t>Round-Trip Eff.</t>
  </si>
  <si>
    <t>85%</t>
  </si>
  <si>
    <t>86%</t>
  </si>
  <si>
    <t>AC-AC incl inverter</t>
  </si>
  <si>
    <t>Annual Degradation</t>
  </si>
  <si>
    <t>2.0%</t>
  </si>
  <si>
    <t>Capacity fade per year</t>
  </si>
  <si>
    <t>Cycle Life</t>
  </si>
  <si>
    <t>6,000</t>
  </si>
  <si>
    <t>6,500</t>
  </si>
  <si>
    <t>Full cycles before EOL</t>
  </si>
  <si>
    <t>12</t>
  </si>
  <si>
    <t>Battery module replacement yr</t>
  </si>
  <si>
    <t>1.0</t>
  </si>
  <si>
    <t>COSTS ($/kWh unless noted)</t>
  </si>
  <si>
    <t>$145</t>
  </si>
  <si>
    <t>$155</t>
  </si>
  <si>
    <t>Installed 4-hr LFP system</t>
  </si>
  <si>
    <t>$25</t>
  </si>
  <si>
    <t>$22</t>
  </si>
  <si>
    <t>$26</t>
  </si>
  <si>
    <t>Site O&amp;M, monitoring</t>
  </si>
  <si>
    <t>$0</t>
  </si>
  <si>
    <t>$0.50</t>
  </si>
  <si>
    <t>Per-MWh cost</t>
  </si>
  <si>
    <t>Augmentation ($/kWh)</t>
  </si>
  <si>
    <t>$55</t>
  </si>
  <si>
    <t>$50</t>
  </si>
  <si>
    <t>$52</t>
  </si>
  <si>
    <t>Battery replacement cost</t>
  </si>
  <si>
    <t>$10</t>
  </si>
  <si>
    <t>$8</t>
  </si>
  <si>
    <t>$12</t>
  </si>
  <si>
    <t>End-of-life removal</t>
  </si>
  <si>
    <t>$30</t>
  </si>
  <si>
    <t>$35</t>
  </si>
  <si>
    <t>Grid electricity for charging</t>
  </si>
  <si>
    <t>Residual Value</t>
  </si>
  <si>
    <t>10%</t>
  </si>
  <si>
    <t>% of CapEx at end</t>
  </si>
  <si>
    <t>INFRASTRUCTURE COSTS</t>
  </si>
  <si>
    <t>$100</t>
  </si>
  <si>
    <t>$90</t>
  </si>
  <si>
    <t>$120</t>
  </si>
  <si>
    <t>Network upgrades, metering</t>
  </si>
  <si>
    <t>$15</t>
  </si>
  <si>
    <t>Site acquisition/lease</t>
  </si>
  <si>
    <t>$20</t>
  </si>
  <si>
    <t>Env review, permits</t>
  </si>
  <si>
    <t>Insurance (% CapEx)</t>
  </si>
  <si>
    <t>0.5%</t>
  </si>
  <si>
    <t>Annual insurance</t>
  </si>
  <si>
    <t>1.0%</t>
  </si>
  <si>
    <t>1.05%</t>
  </si>
  <si>
    <t>CA average 1.05%</t>
  </si>
  <si>
    <t>TAX CREDITS</t>
  </si>
  <si>
    <t>30%</t>
  </si>
  <si>
    <t>IRA base rate</t>
  </si>
  <si>
    <t>0%</t>
  </si>
  <si>
    <t>Energy community (CA common)</t>
  </si>
  <si>
    <t>Total ITC</t>
  </si>
  <si>
    <t>40%</t>
  </si>
  <si>
    <t>BENEFIT STREAMS ($/kW-year, Year 1)</t>
  </si>
  <si>
    <t>$150</t>
  </si>
  <si>
    <t>$140</t>
  </si>
  <si>
    <t>$180</t>
  </si>
  <si>
    <t>CA premium; CPUC D.24-06-050</t>
  </si>
  <si>
    <t>$40</t>
  </si>
  <si>
    <t>$45</t>
  </si>
  <si>
    <t>CAISO OASIS historical</t>
  </si>
  <si>
    <t>Frequency reg, spinning res</t>
  </si>
  <si>
    <t>CPUC Avoided Cost Calc</t>
  </si>
  <si>
    <t>$60</t>
  </si>
  <si>
    <t>LBNL ICE; CA PSPS premium</t>
  </si>
  <si>
    <t>CAISO curtailment value</t>
  </si>
  <si>
    <t>CARB cap-and-trade</t>
  </si>
  <si>
    <t>$6</t>
  </si>
  <si>
    <t>Distribution services</t>
  </si>
  <si>
    <t>COST PROJECTIONS</t>
  </si>
  <si>
    <t>11%</t>
  </si>
  <si>
    <t>Annual cost decline</t>
  </si>
  <si>
    <t>Base Year</t>
  </si>
  <si>
    <t>2024</t>
  </si>
  <si>
    <t>2025</t>
  </si>
  <si>
    <t>FINANCING (typical)</t>
  </si>
  <si>
    <t>Debt Percent</t>
  </si>
  <si>
    <t>60%</t>
  </si>
  <si>
    <t>65%</t>
  </si>
  <si>
    <t>Interest Rate</t>
  </si>
  <si>
    <t>4.5%</t>
  </si>
  <si>
    <t>5.0%</t>
  </si>
  <si>
    <t>4.0%</t>
  </si>
  <si>
    <t>10.0%</t>
  </si>
  <si>
    <t>9.5%</t>
  </si>
  <si>
    <t>Tax Rate</t>
  </si>
  <si>
    <t>21%</t>
  </si>
  <si>
    <t>METHODOLOGY — Formulas, Citations, and Assumptions</t>
  </si>
  <si>
    <t>All calculations follow CPUC Standard Practice Manual and cited industry sources.</t>
  </si>
  <si>
    <t>FINANCIAL METRICS</t>
  </si>
  <si>
    <t>NPV = Σ CFt / (1+r)^t  for t=0..N
CF0 = −CapEx + ITC;  CFt = Benefits(t) − O&amp;M(t) − Charging(t) − Insurance(t) − PropertyTax(t)
Source: Brealey, Myers &amp; Allen, Principles of Corporate Finance, 13th ed. McGraw-Hill 2020, Ch.2</t>
  </si>
  <si>
    <t>BCR = PV(Benefits) / PV(Costs)
BCR ≥ 1.5 → Approve | 1.0–1.5 → Further Study | &lt; 1.0 → Reject
Source: CPUC Standard Practice Manual, Economic Analysis of Demand-Side Programs, 2001</t>
  </si>
  <si>
    <t>IRR = r such that NPV = 0  (solved numerically via Newton-Raphson / Excel IRR())
Source: Brealey et al., Ch.5</t>
  </si>
  <si>
    <t>Levelized Cost of Storage (LCOS)</t>
  </si>
  <si>
    <t>LCOS = PV(Lifetime Costs) / PV(Lifetime Energy Discharged)  [$/MWh]
Costs include CapEx, O&amp;M, charging, augmentation; Energy = MWh discharged per year × RTE
Source: Lazard Levelized Cost of Storage Analysis v10.0, 2025</t>
  </si>
  <si>
    <t>Simple Payback</t>
  </si>
  <si>
    <t>Payback = first year t where Cumulative Net CF ≥ 0  (linear interpolation within year)
Not time-value adjusted; use as secondary screening metric only</t>
  </si>
  <si>
    <t>Breakeven CapEx</t>
  </si>
  <si>
    <t>BE_CapEx = (PV_Benefits − PV_OpEx) / Total_Capacity_kWh  [$/kWh]
Maximum CapEx where BCR = 1.0; safety margin = BE_CapEx − actual CapEx</t>
  </si>
  <si>
    <t>COST STRUCTURE</t>
  </si>
  <si>
    <t>Year 0 Capital Costs</t>
  </si>
  <si>
    <t>Battery CapEx = CapEx($/kWh) × capacity(kWh) × (1 − LearningRate)^(COD − BaseYear)
Infrastructure = (Interconnection + Land + Permitting)($/kW) × capacity(kW)
ITC credit = Battery CapEx × (ITC_base + ITC_adders)  [applied to battery only]</t>
  </si>
  <si>
    <t>Annual Operating Costs</t>
  </si>
  <si>
    <t>Fixed O&amp;M = FOM($/kW-yr) × capacity(kW)
Variable O&amp;M = VOM($/MWh) × annual_discharge(MWh)
Charging = charging_cost($/MWh) × annual_charge(MWh)
Insurance = insurance_rate × total_CapEx
Property Tax = property_tax_rate × net_book_value(t)</t>
  </si>
  <si>
    <t>Augmentation</t>
  </si>
  <si>
    <t>Occurs at augmentation_year; cost adjusted for learning curve:
Aug_Cost(t) = base_aug_cost × (1 − learning_rate)^t
Restores capacity to nominal; subsequent degradation resets</t>
  </si>
  <si>
    <t>Battery Degradation</t>
  </si>
  <si>
    <t>Capacity(t) = Capacity(0) × (1 − degradation_rate)^t
Applied to energy-based benefits and LCOS energy denominator
Source: NREL ATB 2024; manufacturer data</t>
  </si>
  <si>
    <t>MULTI-TRANCHE (JIT) METHODOLOGY</t>
  </si>
  <si>
    <t>Cohort-Based Cost Aggregation</t>
  </si>
  <si>
    <t>Each tranche i has its own COD year t_i and capacity q_i.
CapEx_i = q_i(kWh) × c_0 × (1−λ)^(t_i − t_base)  where λ = learning rate
Costs and benefits are summed across all online cohorts each year.</t>
  </si>
  <si>
    <t>Staged Degradation</t>
  </si>
  <si>
    <t>Each cohort degrades from its own COD:
Capacity_i(t) = q_i × (1 − d)^(t − t_i)  for t &gt; t_i
Benefits scale by effective online capacity / total nominal capacity</t>
  </si>
  <si>
    <t>Flexibility Value</t>
  </si>
  <si>
    <t>FV = PV(Upfront Build) − PV(Phased JIT Build)
Positive FV shows economic advantage of deferring capital and capturing learning curve
Computed in Python engine; displayed in Results tab of GUI</t>
  </si>
  <si>
    <t>BENEFIT METHODOLOGIES</t>
  </si>
  <si>
    <t>Value = RA_capacity_credit($/kW-yr) × online_MW × 1000
Capacity credit uses ELCC methodology per CPUC rules
Source: CPUC RA Program, D.24-06-050, November 2024</t>
  </si>
  <si>
    <t>T&amp;D Capital Deferral</t>
  </si>
  <si>
    <t>PV = K × [1 − ((1+g)/(1+r))^n]
K = deferred capital cost; g = load growth; r = discount rate; n = deferral years
Source: E3 CPUC Avoided Cost Calculator 2024</t>
  </si>
  <si>
    <t>Value = displaced_emissions(tCO2) × carbon_price($/tCO2)
Carbon price per EPA Social Cost of Carbon / CARB cap-and-trade
Source: EPA Technical Support Document — Social Cost of Greenhouse Gases, 2023</t>
  </si>
  <si>
    <t>REFERENCES</t>
  </si>
  <si>
    <t>Primary Data Sources</t>
  </si>
  <si>
    <t>1. NREL Annual Technology Baseline 2024 — atb.nrel.gov/electricity/2024
2. Lazard LCOS Analysis v10.0, 2025 — lazard.com
3. CPUC Standard Practice Manual — cpuc.ca.gov
4. E3 Avoided Cost Calculator 2024 — cpuc.ca.gov/acc
5. LBNL ICE Calculator — icecalculator.com</t>
  </si>
  <si>
    <t>Regulatory References</t>
  </si>
  <si>
    <t>6. CPUC D.24-06-050 — Resource Adequacy 2024
7. CPUC D.25-12-003 — SCE 2026-2028 Cost of Capital
8. FERC Order 841 — Electric Storage Market Participation
9. IRS Notice 2023 — IRA Investment Tax Credit Guidance</t>
  </si>
  <si>
    <t>Academic / Industry</t>
  </si>
  <si>
    <t>10. Brealey, Myers &amp; Allen — Principles of Corporate Finance, 13th ed.
11. NREL Storage Futures Study — NREL/TP-6A20-77449
12. EPRI Grid Energy Storage — Technical Report 3002020045
13. BloombergNEF Battery Price Survey 2025</t>
  </si>
  <si>
    <t>VBA MACRO GUIDE — Embedded Buttons and Functions</t>
  </si>
  <si>
    <t>This workbook includes VBA macros for report generation and data export. Enable macros when prompted. Requires .xlsm format.</t>
  </si>
  <si>
    <t>ENABLING MACROS</t>
  </si>
  <si>
    <t>Required for full functionality</t>
  </si>
  <si>
    <t>When opening the file, click "Enable Content" in the yellow security bar.
If macros are blocked by IT policy, use the Python GUI instead (python main.py).</t>
  </si>
  <si>
    <t>Macro Security Setting</t>
  </si>
  <si>
    <t>File → Options → Trust Center → Trust Center Settings → Macro Settings
Select "Disable all macros with notification" for safe operation.</t>
  </si>
  <si>
    <t>AVAILABLE MACRO BUTTONS</t>
  </si>
  <si>
    <t>Calculate Project Economics</t>
  </si>
  <si>
    <t>Runs the Python calculation engine via Shell() command.
Reads all Inputs sheet values and writes results to Results, Cash_Flows sheets.
Button location: Results sheet, top-right</t>
  </si>
  <si>
    <t>Export PDF Report</t>
  </si>
  <si>
    <t>Exports Results + Cash_Flows + Sensitivity to a formatted PDF.
Output saved to same folder as workbook with timestamp in filename.
Button location: Results sheet</t>
  </si>
  <si>
    <t>Load Library Assumptions</t>
  </si>
  <si>
    <t>Reads the selected library (Inputs!C6) and populates cost/tech/benefit fields.
Overrides any manually entered values in the yellow input cells.
Button location: Inputs sheet, row 6</t>
  </si>
  <si>
    <t>Clear All Inputs</t>
  </si>
  <si>
    <t>Resets all yellow input cells to default values from the selected library.
Does NOT clear library selection or project name/ID.
Button location: Inputs sheet, top</t>
  </si>
  <si>
    <t>Generate Sensitivity Chart</t>
  </si>
  <si>
    <t>Runs 8 sensitivity scenarios via Python and creates a tornado chart.
Chart saved to Sensitivity sheet.
Button location: Sensitivity sheet</t>
  </si>
  <si>
    <t>Export to JSON</t>
  </si>
  <si>
    <t>Saves all current inputs to a .json project file for use in the Python GUI.
Enables round-trip compatibility between Excel and Python interfaces.
Button location: Inputs sheet</t>
  </si>
  <si>
    <t>USING WITHOUT MACROS</t>
  </si>
  <si>
    <t>Manual Workflow</t>
  </si>
  <si>
    <t>1. Enter project parameters in yellow cells on the Inputs sheet
2. Cash_Flows and Results sheets update automatically via Excel formulas
3. Run python main.py for IRR, LCOS, Payback exact calculations
4. Copy Python results back to Results sheet manually</t>
  </si>
  <si>
    <t>Python GUI</t>
  </si>
  <si>
    <t>Launch:  cd bess_analyzer &amp;&amp; python main.py
Full feature set: JIT cohort model, UOS analysis, sensitivity, PDF export
Save projects as JSON; load back into GUI or regenerate Excel from command line</t>
  </si>
  <si>
    <t>Regenerating This File</t>
  </si>
  <si>
    <t>Run:  python excel_generator.py  (from bess_analyzer/ directory)
Output: BESS_Analyzer_v2.0_YYYYMMDD_HHMM.xlsx with current timestamp
All formulas and sheet structure are rebuilt from source code</t>
  </si>
  <si>
    <t>KEYBOARD SHORTCUTS</t>
  </si>
  <si>
    <t>Recalculate</t>
  </si>
  <si>
    <t>F9 — force full workbook recalculation</t>
  </si>
  <si>
    <t>Navigate sheets</t>
  </si>
  <si>
    <t>Ctrl+PgUp / Ctrl+PgDn — move between sheets</t>
  </si>
  <si>
    <t>Find named range</t>
  </si>
  <si>
    <t>Ctrl+G → type range name (e.g., Build_Schedule) → Enter</t>
  </si>
  <si>
    <t>Freeze panes</t>
  </si>
  <si>
    <t>View → Freeze Panes on any sheet for easier scrolling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</si>
</sst>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0.00%"/>
    <numFmt numFmtId="166" formatCode="$#,##0.00"/>
    <numFmt numFmtId="167" formatCode="$#,##0"/>
    <numFmt numFmtId="168" formatCode="#,##0.0"/>
    <numFmt numFmtId="169" formatCode="#,##0.00"/>
  </numFmts>
  <fonts count="9">
    <font>
      <sz val="11"/>
      <color theme="1"/>
      <name val="Calibri"/>
      <family val="2"/>
      <scheme val="minor"/>
    </font>
    <font>
      <b/>
      <sz val="16"/>
      <color rgb="FF1565C0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1565C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E65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DE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FE0B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5" fillId="3" borderId="1" xfId="0" applyFont="1" applyFill="1" applyBorder="1" applyAlignment="1">
      <alignment vertical="center"/>
    </xf>
    <xf numFmtId="164" fontId="3" fillId="4" borderId="1" xfId="0" applyNumberFormat="1" applyFont="1" applyFill="1" applyBorder="1"/>
    <xf numFmtId="0" fontId="3" fillId="4" borderId="1" xfId="0" applyFont="1" applyFill="1" applyBorder="1"/>
    <xf numFmtId="1" fontId="0" fillId="2" borderId="1" xfId="0" applyNumberFormat="1" applyFill="1" applyBorder="1"/>
    <xf numFmtId="165" fontId="0" fillId="2" borderId="1" xfId="0" applyNumberFormat="1" applyFill="1" applyBorder="1"/>
    <xf numFmtId="0" fontId="6" fillId="5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/>
    <xf numFmtId="166" fontId="0" fillId="2" borderId="1" xfId="0" applyNumberFormat="1" applyFill="1" applyBorder="1"/>
    <xf numFmtId="167" fontId="3" fillId="4" borderId="1" xfId="0" applyNumberFormat="1" applyFont="1" applyFill="1" applyBorder="1"/>
    <xf numFmtId="0" fontId="0" fillId="0" borderId="1" xfId="0" applyBorder="1" applyAlignment="1">
      <alignment horizontal="center"/>
    </xf>
    <xf numFmtId="167" fontId="0" fillId="0" borderId="1" xfId="0" applyNumberFormat="1" applyBorder="1"/>
    <xf numFmtId="168" fontId="0" fillId="0" borderId="1" xfId="0" applyNumberFormat="1" applyBorder="1"/>
    <xf numFmtId="167" fontId="7" fillId="3" borderId="2" xfId="0" applyNumberFormat="1" applyFont="1" applyFill="1" applyBorder="1" applyAlignment="1">
      <alignment horizontal="center"/>
    </xf>
    <xf numFmtId="169" fontId="7" fillId="3" borderId="2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0" fontId="8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2"/>
  <sheetViews>
    <sheetView tabSelected="1" workbookViewId="0"/>
  </sheetViews>
  <sheetFormatPr defaultRowHeight="15"/>
  <cols>
    <col min="1" max="1" width="3.7109375" customWidth="1"/>
    <col min="2" max="2" width="32.7109375" customWidth="1"/>
    <col min="3" max="3" width="20.7109375" customWidth="1"/>
    <col min="4" max="4" width="14.7109375" customWidth="1"/>
    <col min="5" max="5" width="12.7109375" customWidth="1"/>
    <col min="6" max="6" width="42.7109375" customWidth="1"/>
  </cols>
  <sheetData>
    <row r="2" spans="2:6">
      <c r="B2" s="1" t="s">
        <v>0</v>
      </c>
      <c r="C2" s="1"/>
      <c r="D2" s="1"/>
      <c r="E2" s="1"/>
      <c r="F2" s="1"/>
    </row>
    <row r="3" spans="2:6">
      <c r="B3" s="2" t="s">
        <v>1</v>
      </c>
      <c r="C3" s="2"/>
      <c r="D3" s="2"/>
      <c r="E3" s="2"/>
      <c r="F3" s="2"/>
    </row>
    <row r="5" spans="2:6">
      <c r="B5" s="3" t="s">
        <v>2</v>
      </c>
    </row>
    <row r="6" spans="2:6">
      <c r="B6" s="3" t="s">
        <v>3</v>
      </c>
      <c r="C6" s="4" t="s">
        <v>4</v>
      </c>
      <c r="D6" s="5" t="s">
        <v>5</v>
      </c>
      <c r="F6" s="5" t="s">
        <v>6</v>
      </c>
    </row>
    <row r="8" spans="2:6">
      <c r="B8" s="6" t="s">
        <v>7</v>
      </c>
      <c r="C8" s="6"/>
      <c r="D8" s="6"/>
      <c r="E8" s="6"/>
      <c r="F8" s="6"/>
    </row>
    <row r="9" spans="2:6">
      <c r="B9" s="3" t="s">
        <v>8</v>
      </c>
      <c r="C9" s="4" t="s">
        <v>9</v>
      </c>
      <c r="F9" s="5" t="s">
        <v>10</v>
      </c>
    </row>
    <row r="10" spans="2:6">
      <c r="B10" s="3" t="s">
        <v>11</v>
      </c>
      <c r="C10" s="4" t="s">
        <v>12</v>
      </c>
      <c r="F10" s="5" t="s">
        <v>13</v>
      </c>
    </row>
    <row r="11" spans="2:6">
      <c r="B11" s="3" t="s">
        <v>14</v>
      </c>
      <c r="C11" s="4" t="s">
        <v>15</v>
      </c>
      <c r="F11" s="5" t="s">
        <v>16</v>
      </c>
    </row>
    <row r="12" spans="2:6">
      <c r="B12" s="3" t="s">
        <v>17</v>
      </c>
      <c r="C12" s="7">
        <f>SUM(D20:D29)</f>
        <v>0</v>
      </c>
      <c r="F12" s="5" t="s">
        <v>18</v>
      </c>
    </row>
    <row r="13" spans="2:6">
      <c r="B13" s="3" t="s">
        <v>19</v>
      </c>
      <c r="C13" s="4">
        <v>4</v>
      </c>
      <c r="F13" s="5" t="s">
        <v>20</v>
      </c>
    </row>
    <row r="14" spans="2:6">
      <c r="B14" s="3" t="s">
        <v>21</v>
      </c>
      <c r="C14" s="8">
        <f>C12*C13</f>
        <v>0</v>
      </c>
      <c r="F14" s="5" t="s">
        <v>22</v>
      </c>
    </row>
    <row r="15" spans="2:6">
      <c r="B15" s="3" t="s">
        <v>23</v>
      </c>
      <c r="C15" s="9">
        <v>20</v>
      </c>
      <c r="F15" s="5" t="s">
        <v>24</v>
      </c>
    </row>
    <row r="16" spans="2:6">
      <c r="B16" s="3" t="s">
        <v>25</v>
      </c>
      <c r="C16" s="10">
        <v>0.07000000000000001</v>
      </c>
      <c r="F16" s="5" t="s">
        <v>26</v>
      </c>
    </row>
    <row r="17" spans="2:6">
      <c r="B17" s="3" t="s">
        <v>27</v>
      </c>
      <c r="C17" s="4" t="s">
        <v>28</v>
      </c>
      <c r="F17" s="5" t="s">
        <v>29</v>
      </c>
    </row>
    <row r="18" spans="2:6">
      <c r="B18" s="6" t="s">
        <v>30</v>
      </c>
      <c r="C18" s="6"/>
      <c r="D18" s="6"/>
      <c r="E18" s="6"/>
      <c r="F18" s="6"/>
    </row>
    <row r="19" spans="2:6">
      <c r="B19" s="11" t="s">
        <v>31</v>
      </c>
      <c r="C19" s="11" t="s">
        <v>32</v>
      </c>
      <c r="D19" s="11" t="s">
        <v>33</v>
      </c>
      <c r="E19" s="11" t="s">
        <v>34</v>
      </c>
    </row>
    <row r="20" spans="2:6">
      <c r="B20" t="s">
        <v>35</v>
      </c>
      <c r="C20" s="9">
        <v>2027</v>
      </c>
      <c r="D20" s="4">
        <v>20</v>
      </c>
      <c r="E20" s="12">
        <f>IF(D20&gt;0,Inputs!C54+Inputs!C55,0)</f>
        <v>0</v>
      </c>
    </row>
    <row r="21" spans="2:6">
      <c r="B21" t="s">
        <v>36</v>
      </c>
      <c r="C21" s="9">
        <v>2028</v>
      </c>
      <c r="D21" s="4">
        <v>20</v>
      </c>
      <c r="E21" s="12">
        <f>IF(D21&gt;0,Inputs!C54+Inputs!C55,0)</f>
        <v>0</v>
      </c>
    </row>
    <row r="22" spans="2:6">
      <c r="B22" t="s">
        <v>37</v>
      </c>
      <c r="C22" s="9">
        <v>2029</v>
      </c>
      <c r="D22" s="4">
        <v>20</v>
      </c>
      <c r="E22" s="12">
        <f>IF(D22&gt;0,Inputs!C54+Inputs!C55,0)</f>
        <v>0</v>
      </c>
    </row>
    <row r="23" spans="2:6">
      <c r="B23" t="s">
        <v>38</v>
      </c>
      <c r="C23" s="9">
        <v>2030</v>
      </c>
      <c r="D23" s="4">
        <v>20</v>
      </c>
      <c r="E23" s="12">
        <f>IF(D23&gt;0,Inputs!C54+Inputs!C55,0)</f>
        <v>0</v>
      </c>
    </row>
    <row r="24" spans="2:6">
      <c r="B24" t="s">
        <v>39</v>
      </c>
      <c r="C24" s="9">
        <v>2031</v>
      </c>
      <c r="D24" s="4">
        <v>20</v>
      </c>
      <c r="E24" s="12">
        <f>IF(D24&gt;0,Inputs!C54+Inputs!C55,0)</f>
        <v>0</v>
      </c>
    </row>
    <row r="25" spans="2:6">
      <c r="B25" t="s">
        <v>40</v>
      </c>
      <c r="C25" s="9">
        <v>2032</v>
      </c>
      <c r="D25" s="4">
        <v>0</v>
      </c>
      <c r="E25" s="12">
        <f>IF(D25&gt;0,Inputs!C54+Inputs!C55,0)</f>
        <v>0</v>
      </c>
    </row>
    <row r="26" spans="2:6">
      <c r="B26" t="s">
        <v>41</v>
      </c>
      <c r="C26" s="9">
        <v>0</v>
      </c>
      <c r="D26" s="4">
        <v>0</v>
      </c>
      <c r="E26" s="12">
        <f>IF(D26&gt;0,Inputs!C54+Inputs!C55,0)</f>
        <v>0</v>
      </c>
    </row>
    <row r="27" spans="2:6">
      <c r="B27" t="s">
        <v>42</v>
      </c>
      <c r="C27" s="9">
        <v>0</v>
      </c>
      <c r="D27" s="4">
        <v>0</v>
      </c>
      <c r="E27" s="12">
        <f>IF(D27&gt;0,Inputs!C54+Inputs!C55,0)</f>
        <v>0</v>
      </c>
    </row>
    <row r="28" spans="2:6">
      <c r="B28" t="s">
        <v>43</v>
      </c>
      <c r="C28" s="9">
        <v>0</v>
      </c>
      <c r="D28" s="4">
        <v>0</v>
      </c>
      <c r="E28" s="12">
        <f>IF(D28&gt;0,Inputs!C54+Inputs!C55,0)</f>
        <v>0</v>
      </c>
    </row>
    <row r="29" spans="2:6">
      <c r="B29" t="s">
        <v>44</v>
      </c>
      <c r="C29" s="9">
        <v>0</v>
      </c>
      <c r="D29" s="4">
        <v>0</v>
      </c>
      <c r="E29" s="12">
        <f>IF(D29&gt;0,Inputs!C54+Inputs!C55,0)</f>
        <v>0</v>
      </c>
    </row>
    <row r="31" spans="2:6">
      <c r="B31" s="6" t="s">
        <v>45</v>
      </c>
      <c r="C31" s="6"/>
      <c r="D31" s="6"/>
      <c r="E31" s="6"/>
      <c r="F31" s="6"/>
    </row>
    <row r="32" spans="2:6">
      <c r="B32" s="3" t="s">
        <v>46</v>
      </c>
      <c r="C32" s="13">
        <v>100000000</v>
      </c>
      <c r="F32" s="5" t="s">
        <v>47</v>
      </c>
    </row>
    <row r="33" spans="2:6">
      <c r="B33" s="3" t="s">
        <v>48</v>
      </c>
      <c r="C33" s="9">
        <v>2032</v>
      </c>
      <c r="F33" s="5" t="s">
        <v>49</v>
      </c>
    </row>
    <row r="34" spans="2:6">
      <c r="B34" s="3" t="s">
        <v>50</v>
      </c>
      <c r="C34" s="9">
        <v>5</v>
      </c>
      <c r="F34" s="5" t="s">
        <v>51</v>
      </c>
    </row>
    <row r="35" spans="2:6">
      <c r="B35" s="3" t="s">
        <v>52</v>
      </c>
      <c r="C35" s="10">
        <v>0.02</v>
      </c>
      <c r="F35" s="5" t="s">
        <v>53</v>
      </c>
    </row>
    <row r="36" spans="2:6">
      <c r="B36" s="3" t="s">
        <v>54</v>
      </c>
      <c r="C36" s="14">
        <f>C32*(1-((1+C35)/(1+C16))^C34)</f>
        <v>0</v>
      </c>
      <c r="F36" s="5" t="s">
        <v>55</v>
      </c>
    </row>
    <row r="38" spans="2:6">
      <c r="B38" s="6" t="s">
        <v>56</v>
      </c>
      <c r="C38" s="6"/>
      <c r="D38" s="6"/>
      <c r="E38" s="6"/>
      <c r="F38" s="6"/>
    </row>
    <row r="39" spans="2:6">
      <c r="B39" s="3" t="s">
        <v>57</v>
      </c>
      <c r="C39" s="4" t="s">
        <v>58</v>
      </c>
      <c r="F39" s="5" t="s">
        <v>59</v>
      </c>
    </row>
    <row r="40" spans="2:6">
      <c r="B40" s="3" t="s">
        <v>60</v>
      </c>
      <c r="C40" s="10">
        <v>0.85</v>
      </c>
      <c r="F40" s="5" t="s">
        <v>61</v>
      </c>
    </row>
    <row r="41" spans="2:6">
      <c r="B41" s="3" t="s">
        <v>62</v>
      </c>
      <c r="C41" s="10">
        <v>0.025</v>
      </c>
      <c r="F41" s="5" t="s">
        <v>63</v>
      </c>
    </row>
    <row r="42" spans="2:6">
      <c r="B42" s="3" t="s">
        <v>64</v>
      </c>
      <c r="C42" s="9">
        <v>6000</v>
      </c>
      <c r="F42" s="5" t="s">
        <v>65</v>
      </c>
    </row>
    <row r="43" spans="2:6">
      <c r="B43" s="3" t="s">
        <v>66</v>
      </c>
      <c r="C43" s="9">
        <v>12</v>
      </c>
      <c r="F43" s="5" t="s">
        <v>67</v>
      </c>
    </row>
    <row r="44" spans="2:6">
      <c r="B44" s="3" t="s">
        <v>68</v>
      </c>
      <c r="C44" s="4">
        <v>1</v>
      </c>
      <c r="F44" s="5" t="s">
        <v>69</v>
      </c>
    </row>
    <row r="45" spans="2:6">
      <c r="B45" s="6" t="s">
        <v>70</v>
      </c>
      <c r="C45" s="6"/>
      <c r="D45" s="6"/>
      <c r="E45" s="6"/>
      <c r="F45" s="6"/>
    </row>
    <row r="46" spans="2:6">
      <c r="B46" s="3" t="s">
        <v>71</v>
      </c>
      <c r="C46" s="13">
        <v>160</v>
      </c>
      <c r="F46" s="5" t="s">
        <v>72</v>
      </c>
    </row>
    <row r="47" spans="2:6">
      <c r="B47" s="3" t="s">
        <v>73</v>
      </c>
      <c r="C47" s="13">
        <v>25</v>
      </c>
      <c r="F47" s="5" t="s">
        <v>74</v>
      </c>
    </row>
    <row r="48" spans="2:6">
      <c r="B48" s="3" t="s">
        <v>75</v>
      </c>
      <c r="C48" s="13">
        <v>0</v>
      </c>
      <c r="F48" s="5" t="s">
        <v>76</v>
      </c>
    </row>
    <row r="49" spans="2:6">
      <c r="B49" s="3" t="s">
        <v>77</v>
      </c>
      <c r="C49" s="13">
        <v>55</v>
      </c>
      <c r="F49" s="5" t="s">
        <v>78</v>
      </c>
    </row>
    <row r="50" spans="2:6">
      <c r="B50" s="3" t="s">
        <v>79</v>
      </c>
      <c r="C50" s="13">
        <v>10</v>
      </c>
      <c r="F50" s="5" t="s">
        <v>80</v>
      </c>
    </row>
    <row r="51" spans="2:6">
      <c r="B51" s="3" t="s">
        <v>81</v>
      </c>
      <c r="C51" s="13">
        <v>30</v>
      </c>
      <c r="F51" s="5" t="s">
        <v>82</v>
      </c>
    </row>
    <row r="52" spans="2:6">
      <c r="B52" s="3" t="s">
        <v>83</v>
      </c>
      <c r="C52" s="10">
        <v>0.1</v>
      </c>
      <c r="F52" s="5" t="s">
        <v>84</v>
      </c>
    </row>
    <row r="53" spans="2:6">
      <c r="B53" s="6" t="s">
        <v>85</v>
      </c>
      <c r="C53" s="6"/>
      <c r="D53" s="6"/>
      <c r="E53" s="6"/>
      <c r="F53" s="6"/>
    </row>
    <row r="54" spans="2:6">
      <c r="B54" s="3" t="s">
        <v>86</v>
      </c>
      <c r="C54" s="10">
        <v>0.3</v>
      </c>
      <c r="F54" s="5" t="s">
        <v>87</v>
      </c>
    </row>
    <row r="55" spans="2:6">
      <c r="B55" s="3" t="s">
        <v>88</v>
      </c>
      <c r="C55" s="10">
        <v>0</v>
      </c>
      <c r="F55" s="5" t="s">
        <v>89</v>
      </c>
    </row>
    <row r="56" spans="2:6">
      <c r="B56" s="6" t="s">
        <v>90</v>
      </c>
      <c r="C56" s="6"/>
      <c r="D56" s="6"/>
      <c r="E56" s="6"/>
      <c r="F56" s="6"/>
    </row>
    <row r="57" spans="2:6">
      <c r="B57" s="3" t="s">
        <v>91</v>
      </c>
      <c r="C57" s="13">
        <v>100</v>
      </c>
      <c r="F57" s="5" t="s">
        <v>92</v>
      </c>
    </row>
    <row r="58" spans="2:6">
      <c r="B58" s="3" t="s">
        <v>93</v>
      </c>
      <c r="C58" s="13">
        <v>10</v>
      </c>
      <c r="F58" s="5" t="s">
        <v>94</v>
      </c>
    </row>
    <row r="59" spans="2:6">
      <c r="B59" s="3" t="s">
        <v>95</v>
      </c>
      <c r="C59" s="13">
        <v>15</v>
      </c>
      <c r="F59" s="5" t="s">
        <v>96</v>
      </c>
    </row>
    <row r="60" spans="2:6">
      <c r="B60" s="3" t="s">
        <v>97</v>
      </c>
      <c r="C60" s="10">
        <v>0.005</v>
      </c>
      <c r="F60" s="5" t="s">
        <v>98</v>
      </c>
    </row>
    <row r="61" spans="2:6">
      <c r="B61" s="3" t="s">
        <v>99</v>
      </c>
      <c r="C61" s="10">
        <v>0.01</v>
      </c>
      <c r="F61" s="5" t="s">
        <v>100</v>
      </c>
    </row>
    <row r="62" spans="2:6">
      <c r="B62" s="6" t="s">
        <v>101</v>
      </c>
      <c r="C62" s="6"/>
      <c r="D62" s="6"/>
      <c r="E62" s="6"/>
      <c r="F62" s="6"/>
    </row>
    <row r="63" spans="2:6">
      <c r="B63" s="3" t="s">
        <v>102</v>
      </c>
      <c r="C63" s="10">
        <v>0.6</v>
      </c>
      <c r="F63" s="5" t="s">
        <v>103</v>
      </c>
    </row>
    <row r="64" spans="2:6">
      <c r="B64" s="3" t="s">
        <v>104</v>
      </c>
      <c r="C64" s="10">
        <v>0.045</v>
      </c>
      <c r="F64" s="5" t="s">
        <v>105</v>
      </c>
    </row>
    <row r="65" spans="2:6">
      <c r="B65" s="3" t="s">
        <v>106</v>
      </c>
      <c r="C65" s="9">
        <v>15</v>
      </c>
      <c r="F65" s="5" t="s">
        <v>107</v>
      </c>
    </row>
    <row r="66" spans="2:6">
      <c r="B66" s="3" t="s">
        <v>108</v>
      </c>
      <c r="C66" s="10">
        <v>0.1</v>
      </c>
      <c r="F66" s="5" t="s">
        <v>109</v>
      </c>
    </row>
    <row r="67" spans="2:6">
      <c r="B67" s="3" t="s">
        <v>110</v>
      </c>
      <c r="C67" s="10">
        <v>0.21</v>
      </c>
      <c r="F67" s="5" t="s">
        <v>111</v>
      </c>
    </row>
    <row r="68" spans="2:6">
      <c r="B68" s="3" t="s">
        <v>112</v>
      </c>
      <c r="C68" s="12">
        <f>(1-C63)*C66+C63*C64*(1-C67)</f>
        <v>0</v>
      </c>
      <c r="F68" s="5" t="s">
        <v>113</v>
      </c>
    </row>
    <row r="70" spans="2:6">
      <c r="B70" s="6" t="s">
        <v>114</v>
      </c>
      <c r="C70" s="6"/>
      <c r="D70" s="6"/>
      <c r="E70" s="6"/>
      <c r="F70" s="6"/>
    </row>
    <row r="71" spans="2:6">
      <c r="B71" s="11" t="s">
        <v>115</v>
      </c>
      <c r="C71" s="11" t="s">
        <v>116</v>
      </c>
      <c r="D71" s="11" t="s">
        <v>117</v>
      </c>
      <c r="E71" s="11" t="s">
        <v>118</v>
      </c>
      <c r="F71" s="11" t="s">
        <v>119</v>
      </c>
    </row>
    <row r="72" spans="2:6">
      <c r="B72" t="s">
        <v>120</v>
      </c>
      <c r="C72" s="13">
        <v>150</v>
      </c>
      <c r="D72" s="10">
        <v>0.02</v>
      </c>
      <c r="E72" t="s">
        <v>121</v>
      </c>
      <c r="F72" s="5" t="s">
        <v>122</v>
      </c>
    </row>
    <row r="73" spans="2:6">
      <c r="B73" t="s">
        <v>123</v>
      </c>
      <c r="C73" s="13">
        <v>40</v>
      </c>
      <c r="D73" s="10">
        <v>0.02</v>
      </c>
      <c r="E73" t="s">
        <v>121</v>
      </c>
      <c r="F73" s="5" t="s">
        <v>124</v>
      </c>
    </row>
    <row r="74" spans="2:6">
      <c r="B74" t="s">
        <v>125</v>
      </c>
      <c r="C74" s="13">
        <v>15</v>
      </c>
      <c r="D74" s="10">
        <v>0.01</v>
      </c>
      <c r="E74" t="s">
        <v>121</v>
      </c>
      <c r="F74" s="5" t="s">
        <v>126</v>
      </c>
    </row>
    <row r="75" spans="2:6">
      <c r="B75" t="s">
        <v>127</v>
      </c>
      <c r="C75" s="13">
        <v>25</v>
      </c>
      <c r="D75" s="10">
        <v>0.015</v>
      </c>
      <c r="E75" t="s">
        <v>121</v>
      </c>
      <c r="F75" s="5" t="s">
        <v>128</v>
      </c>
    </row>
    <row r="76" spans="2:6">
      <c r="B76" t="s">
        <v>129</v>
      </c>
      <c r="C76" s="13">
        <v>50</v>
      </c>
      <c r="D76" s="10">
        <v>0.02</v>
      </c>
      <c r="E76" t="s">
        <v>121</v>
      </c>
      <c r="F76" s="5" t="s">
        <v>130</v>
      </c>
    </row>
    <row r="77" spans="2:6">
      <c r="B77" t="s">
        <v>131</v>
      </c>
      <c r="C77" s="13">
        <v>25</v>
      </c>
      <c r="D77" s="10">
        <v>0.025</v>
      </c>
      <c r="E77" t="s">
        <v>132</v>
      </c>
      <c r="F77" s="5" t="s">
        <v>133</v>
      </c>
    </row>
    <row r="78" spans="2:6">
      <c r="B78" t="s">
        <v>134</v>
      </c>
      <c r="C78" s="13">
        <v>15</v>
      </c>
      <c r="D78" s="10">
        <v>0.03</v>
      </c>
      <c r="E78" t="s">
        <v>132</v>
      </c>
      <c r="F78" s="5" t="s">
        <v>135</v>
      </c>
    </row>
    <row r="79" spans="2:6">
      <c r="B79" t="s">
        <v>136</v>
      </c>
      <c r="C79" s="13">
        <v>10</v>
      </c>
      <c r="D79" s="10">
        <v>0.01</v>
      </c>
      <c r="E79" t="s">
        <v>121</v>
      </c>
      <c r="F79" s="5" t="s">
        <v>137</v>
      </c>
    </row>
    <row r="80" spans="2:6">
      <c r="B80" s="6" t="s">
        <v>138</v>
      </c>
      <c r="C80" s="6"/>
      <c r="D80" s="6"/>
      <c r="E80" s="6"/>
      <c r="F80" s="6"/>
    </row>
    <row r="81" spans="2:6">
      <c r="B81" s="3" t="s">
        <v>139</v>
      </c>
      <c r="C81" s="10">
        <v>0.12</v>
      </c>
      <c r="F81" s="5" t="s">
        <v>140</v>
      </c>
    </row>
    <row r="82" spans="2:6">
      <c r="B82" s="3" t="s">
        <v>141</v>
      </c>
      <c r="C82" s="9">
        <v>2024</v>
      </c>
      <c r="F82" s="5" t="s">
        <v>142</v>
      </c>
    </row>
  </sheetData>
  <mergeCells count="12">
    <mergeCell ref="B2:F2"/>
    <mergeCell ref="B3:F3"/>
    <mergeCell ref="B8:F8"/>
    <mergeCell ref="B18:F18"/>
    <mergeCell ref="B31:F31"/>
    <mergeCell ref="B38:F38"/>
    <mergeCell ref="B45:F45"/>
    <mergeCell ref="B53:F53"/>
    <mergeCell ref="B56:F56"/>
    <mergeCell ref="B62:F62"/>
    <mergeCell ref="B70:F70"/>
    <mergeCell ref="B80:F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D15"/>
  <sheetViews>
    <sheetView workbookViewId="0"/>
  </sheetViews>
  <sheetFormatPr defaultRowHeight="15"/>
  <cols>
    <col min="1" max="1" width="3.7109375" customWidth="1"/>
    <col min="2" max="2" width="38.7109375" customWidth="1"/>
    <col min="3" max="3" width="20.7109375" customWidth="1"/>
    <col min="4" max="4" width="58.7109375" customWidth="1"/>
  </cols>
  <sheetData>
    <row r="2" spans="2:4">
      <c r="B2" s="1" t="s">
        <v>143</v>
      </c>
      <c r="C2" s="1"/>
      <c r="D2" s="1"/>
    </row>
    <row r="4" spans="2:4">
      <c r="B4" s="6" t="s">
        <v>144</v>
      </c>
      <c r="C4" s="6"/>
      <c r="D4" s="6"/>
    </row>
    <row r="5" spans="2:4">
      <c r="B5" s="3" t="s">
        <v>145</v>
      </c>
      <c r="C5" s="14">
        <f>Inputs!C12*1000</f>
        <v>0</v>
      </c>
      <c r="D5" s="5" t="s">
        <v>146</v>
      </c>
    </row>
    <row r="6" spans="2:4">
      <c r="B6" s="3" t="s">
        <v>147</v>
      </c>
      <c r="C6" s="14">
        <f>Inputs!C14*1000</f>
        <v>0</v>
      </c>
      <c r="D6" s="5" t="s">
        <v>148</v>
      </c>
    </row>
    <row r="7" spans="2:4">
      <c r="B7" s="3" t="s">
        <v>149</v>
      </c>
      <c r="C7" s="14">
        <f>SUMPRODUCT((INDEX(Build_Schedule,,2)*1000*Inputs!C13)*(Inputs!C46*(1-Inputs!C81)^MAX(0,INDEX(Build_Schedule,,1)-Inputs!C82)))</f>
        <v>0</v>
      </c>
      <c r="D7" s="5" t="s">
        <v>150</v>
      </c>
    </row>
    <row r="8" spans="2:4">
      <c r="B8" s="3" t="s">
        <v>151</v>
      </c>
      <c r="C8" s="14">
        <f>SUMPRODUCT((INDEX(Build_Schedule,,2)*1000*Inputs!C13)*(Inputs!C46*(1-Inputs!C81)^MAX(0,INDEX(Build_Schedule,,1)-Inputs!C82))*INDEX(Build_Schedule,,3))</f>
        <v>0</v>
      </c>
      <c r="D8" s="5" t="s">
        <v>152</v>
      </c>
    </row>
    <row r="9" spans="2:4">
      <c r="B9" s="3" t="s">
        <v>153</v>
      </c>
      <c r="C9" s="14">
        <f>C7-C8</f>
        <v>0</v>
      </c>
      <c r="D9" s="5" t="s">
        <v>154</v>
      </c>
    </row>
    <row r="10" spans="2:4">
      <c r="B10" s="3" t="s">
        <v>155</v>
      </c>
      <c r="C10" s="14">
        <f>Inputs!C12*1000*(Inputs!C57+Inputs!C58+Inputs!C59)</f>
        <v>0</v>
      </c>
      <c r="D10" s="5" t="s">
        <v>156</v>
      </c>
    </row>
    <row r="11" spans="2:4">
      <c r="B11" s="3" t="s">
        <v>157</v>
      </c>
      <c r="C11" s="14">
        <f>C9+C10</f>
        <v>0</v>
      </c>
      <c r="D11" s="5" t="s">
        <v>158</v>
      </c>
    </row>
    <row r="12" spans="2:4">
      <c r="B12" s="3" t="s">
        <v>159</v>
      </c>
      <c r="C12" s="14">
        <f>Inputs!C12*1000*Inputs!C47</f>
        <v>0</v>
      </c>
      <c r="D12" s="5" t="s">
        <v>160</v>
      </c>
    </row>
    <row r="13" spans="2:4">
      <c r="B13" s="3" t="s">
        <v>161</v>
      </c>
      <c r="C13" s="14">
        <f>Inputs!C14*Inputs!C44*365*Inputs!C51</f>
        <v>0</v>
      </c>
      <c r="D13" s="5" t="s">
        <v>162</v>
      </c>
    </row>
    <row r="14" spans="2:4">
      <c r="B14" s="3" t="s">
        <v>163</v>
      </c>
      <c r="C14" s="14">
        <f>C7*Inputs!C60</f>
        <v>0</v>
      </c>
      <c r="D14" s="5" t="s">
        <v>164</v>
      </c>
    </row>
    <row r="15" spans="2:4">
      <c r="B15" s="3" t="s">
        <v>165</v>
      </c>
      <c r="C15" s="14">
        <f>Inputs!C14*1000*Inputs!C49*(1-Inputs!C81)^Inputs!C43</f>
        <v>0</v>
      </c>
      <c r="D15" s="5" t="s">
        <v>166</v>
      </c>
    </row>
  </sheetData>
  <mergeCells count="2">
    <mergeCell ref="B2:D2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O26"/>
  <sheetViews>
    <sheetView workbookViewId="0"/>
  </sheetViews>
  <sheetFormatPr defaultRowHeight="15"/>
  <cols>
    <col min="1" max="1" width="3.7109375" customWidth="1"/>
    <col min="2" max="2" width="6.7109375" customWidth="1"/>
    <col min="3" max="15" width="14.7109375" customWidth="1"/>
  </cols>
  <sheetData>
    <row r="2" spans="2:15">
      <c r="B2" s="1" t="s">
        <v>167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2:15" ht="30" customHeight="1">
      <c r="B4" s="11" t="s">
        <v>168</v>
      </c>
      <c r="C4" s="11" t="s">
        <v>169</v>
      </c>
      <c r="D4" s="11" t="s">
        <v>170</v>
      </c>
      <c r="E4" s="11" t="s">
        <v>171</v>
      </c>
      <c r="F4" s="11" t="s">
        <v>172</v>
      </c>
      <c r="G4" s="11" t="s">
        <v>173</v>
      </c>
      <c r="H4" s="11" t="s">
        <v>174</v>
      </c>
      <c r="I4" s="11" t="s">
        <v>175</v>
      </c>
      <c r="J4" s="11" t="s">
        <v>176</v>
      </c>
      <c r="K4" s="11" t="s">
        <v>177</v>
      </c>
      <c r="L4" s="11" t="s">
        <v>178</v>
      </c>
      <c r="M4" s="11" t="s">
        <v>179</v>
      </c>
      <c r="N4" s="11" t="s">
        <v>180</v>
      </c>
      <c r="O4" s="11" t="s">
        <v>181</v>
      </c>
    </row>
    <row r="5" spans="2:15">
      <c r="B5" s="15">
        <v>0</v>
      </c>
      <c r="C5" s="16">
        <f>SUMPRODUCT(--(INDEX(Build_Schedule,,1)=0),(INDEX(Build_Schedule,,2)*1000*Inputs!C13)*(Inputs!C46*(1-Inputs!C81)^MAX(0,0-Inputs!C82))*(1-INDEX(Build_Schedule,,3)))</f>
        <v>0</v>
      </c>
      <c r="D5" s="16">
        <f>0</f>
        <v>0</v>
      </c>
      <c r="E5" s="16">
        <f>0</f>
        <v>0</v>
      </c>
      <c r="F5" s="16">
        <f>0</f>
        <v>0</v>
      </c>
      <c r="G5" s="16">
        <f>SUMPRODUCT(--(INDEX(Build_Schedule,,1)=0),INDEX(Build_Schedule,,2)*1000*(Inputs!C57+Inputs!C58+Inputs!C59))</f>
        <v>0</v>
      </c>
      <c r="H5" s="16">
        <f>SUM(C5:G5)</f>
        <v>0</v>
      </c>
      <c r="I5" s="16">
        <f>H5/(1+Inputs!C16)^0</f>
        <v>0</v>
      </c>
      <c r="J5" s="16">
        <f>0</f>
        <v>0</v>
      </c>
      <c r="K5" s="16">
        <f>J5/(1+Inputs!C16)^0</f>
        <v>0</v>
      </c>
      <c r="L5" s="16">
        <f>J5-H5</f>
        <v>0</v>
      </c>
      <c r="M5" s="16">
        <f>L5/(1+Inputs!C16)^0</f>
        <v>0</v>
      </c>
      <c r="N5" s="16">
        <f>L5</f>
        <v>0</v>
      </c>
      <c r="O5" s="17">
        <f>0</f>
        <v>0</v>
      </c>
    </row>
    <row r="6" spans="2:15">
      <c r="B6" s="15">
        <v>1</v>
      </c>
      <c r="C6" s="16">
        <f>SUMPRODUCT(--(INDEX(Build_Schedule,,1)=1),(INDEX(Build_Schedule,,2)*1000*Inputs!C13)*(Inputs!C46*(1-Inputs!C81)^MAX(0,1-Inputs!C82))*(1-INDEX(Build_Schedule,,3)))</f>
        <v>0</v>
      </c>
      <c r="D6" s="16">
        <f>SUMPRODUCT(--(INDEX(Build_Schedule,,1)&lt;1),INDEX(Build_Schedule,,2)*1000*Inputs!C47)</f>
        <v>0</v>
      </c>
      <c r="E6" s="16">
        <f>SUMPRODUCT(--(INDEX(Build_Schedule,,1)&lt;1),INDEX(Build_Schedule,,2)*1000*Inputs!C13*Inputs!C44*365*Inputs!C40*(1-Inputs!C41)^(1-INDEX(Build_Schedule,,1))*Inputs!C51)</f>
        <v>0</v>
      </c>
      <c r="F6" s="16">
        <f>SUMPRODUCT(--(INDEX(Build_Schedule,,1)+Inputs!C43=1),INDEX(Build_Schedule,,2)*1000*Inputs!C13*Inputs!C49*(1-Inputs!C81)^MAX(0,Inputs!C43))</f>
        <v>0</v>
      </c>
      <c r="G6" s="16">
        <f>SUMPRODUCT(--(INDEX(Build_Schedule,,1)=1),INDEX(Build_Schedule,,2)*1000*(Inputs!C57+Inputs!C58+Inputs!C59))</f>
        <v>0</v>
      </c>
      <c r="H6" s="16">
        <f>SUM(C6:G6)</f>
        <v>0</v>
      </c>
      <c r="I6" s="16">
        <f>H6/(1+Inputs!C16)^1</f>
        <v>0</v>
      </c>
      <c r="J6" s="16">
        <f>SUMPRODUCT(--(INDEX(Build_Schedule,,1)&lt;1),INDEX(Build_Schedule,,2)*1000*(1-Inputs!C41)^(1-INDEX(Build_Schedule,,1)))*Inputs!C72*(1+Inputs!D72)^0/IFERROR(Inputs!C12*1000,1)+SUMPRODUCT(--(INDEX(Build_Schedule,,1)&lt;1),INDEX(Build_Schedule,,2)*1000*(1-Inputs!C41)^(1-INDEX(Build_Schedule,,1)))*Inputs!C73*(1+Inputs!D73)^0/IFERROR(Inputs!C12*1000,1)+SUMPRODUCT(--(INDEX(Build_Schedule,,1)&lt;1),INDEX(Build_Schedule,,2)*1000*(1-Inputs!C41)^(1-INDEX(Build_Schedule,,1)))*Inputs!C74*(1+Inputs!D74)^0/IFERROR(Inputs!C12*1000,1)+SUMPRODUCT(--(INDEX(Build_Schedule,,1)&lt;1),INDEX(Build_Schedule,,2)*1000*(1-Inputs!C41)^(1-INDEX(Build_Schedule,,1)))*Inputs!C75*(1+Inputs!D75)^0/IFERROR(Inputs!C12*1000,1)+SUMPRODUCT(--(INDEX(Build_Schedule,,1)&lt;1),INDEX(Build_Schedule,,2)*1000*(1-Inputs!C41)^(1-INDEX(Build_Schedule,,1)))*Inputs!C76*(1+Inputs!D76)^0/IFERROR(Inputs!C12*1000,1)+SUMPRODUCT(--(INDEX(Build_Schedule,,1)&lt;1),INDEX(Build_Schedule,,2)*1000*(1-Inputs!C41)^(1-INDEX(Build_Schedule,,1)))*Inputs!C77*(1+Inputs!D77)^0/IFERROR(Inputs!C12*1000,1)+SUMPRODUCT(--(INDEX(Build_Schedule,,1)&lt;1),INDEX(Build_Schedule,,2)*1000*(1-Inputs!C41)^(1-INDEX(Build_Schedule,,1)))*Inputs!C78*(1+Inputs!D78)^0/IFERROR(Inputs!C12*1000,1)+SUMPRODUCT(--(INDEX(Build_Schedule,,1)&lt;1),INDEX(Build_Schedule,,2)*1000*(1-Inputs!C41)^(1-INDEX(Build_Schedule,,1)))*Inputs!C79*(1+Inputs!D79)^0/IFERROR(Inputs!C12*1000,1)</f>
        <v>0</v>
      </c>
      <c r="K6" s="16">
        <f>J6/(1+Inputs!C16)^1</f>
        <v>0</v>
      </c>
      <c r="L6" s="16">
        <f>J6-H6</f>
        <v>0</v>
      </c>
      <c r="M6" s="16">
        <f>L6/(1+Inputs!C16)^1</f>
        <v>0</v>
      </c>
      <c r="N6" s="16">
        <f>N5+L6</f>
        <v>0</v>
      </c>
      <c r="O6" s="17">
        <f>SUMPRODUCT(--(INDEX(Build_Schedule,,1)&lt;1),INDEX(Build_Schedule,,2)*Inputs!C13*Inputs!C44*365*Inputs!C40*(1-Inputs!C41)^(1-INDEX(Build_Schedule,,1)))</f>
        <v>0</v>
      </c>
    </row>
    <row r="7" spans="2:15">
      <c r="B7" s="15">
        <v>2</v>
      </c>
      <c r="C7" s="16">
        <f>SUMPRODUCT(--(INDEX(Build_Schedule,,1)=2),(INDEX(Build_Schedule,,2)*1000*Inputs!C13)*(Inputs!C46*(1-Inputs!C81)^MAX(0,2-Inputs!C82))*(1-INDEX(Build_Schedule,,3)))</f>
        <v>0</v>
      </c>
      <c r="D7" s="16">
        <f>SUMPRODUCT(--(INDEX(Build_Schedule,,1)&lt;2),INDEX(Build_Schedule,,2)*1000*Inputs!C47)</f>
        <v>0</v>
      </c>
      <c r="E7" s="16">
        <f>SUMPRODUCT(--(INDEX(Build_Schedule,,1)&lt;2),INDEX(Build_Schedule,,2)*1000*Inputs!C13*Inputs!C44*365*Inputs!C40*(1-Inputs!C41)^(2-INDEX(Build_Schedule,,1))*Inputs!C51)</f>
        <v>0</v>
      </c>
      <c r="F7" s="16">
        <f>SUMPRODUCT(--(INDEX(Build_Schedule,,1)+Inputs!C43=2),INDEX(Build_Schedule,,2)*1000*Inputs!C13*Inputs!C49*(1-Inputs!C81)^MAX(0,Inputs!C43))</f>
        <v>0</v>
      </c>
      <c r="G7" s="16">
        <f>SUMPRODUCT(--(INDEX(Build_Schedule,,1)=2),INDEX(Build_Schedule,,2)*1000*(Inputs!C57+Inputs!C58+Inputs!C59))</f>
        <v>0</v>
      </c>
      <c r="H7" s="16">
        <f>SUM(C7:G7)</f>
        <v>0</v>
      </c>
      <c r="I7" s="16">
        <f>H7/(1+Inputs!C16)^2</f>
        <v>0</v>
      </c>
      <c r="J7" s="16">
        <f>SUMPRODUCT(--(INDEX(Build_Schedule,,1)&lt;2),INDEX(Build_Schedule,,2)*1000*(1-Inputs!C41)^(2-INDEX(Build_Schedule,,1)))*Inputs!C72*(1+Inputs!D72)^1/IFERROR(Inputs!C12*1000,1)+SUMPRODUCT(--(INDEX(Build_Schedule,,1)&lt;2),INDEX(Build_Schedule,,2)*1000*(1-Inputs!C41)^(2-INDEX(Build_Schedule,,1)))*Inputs!C73*(1+Inputs!D73)^1/IFERROR(Inputs!C12*1000,1)+SUMPRODUCT(--(INDEX(Build_Schedule,,1)&lt;2),INDEX(Build_Schedule,,2)*1000*(1-Inputs!C41)^(2-INDEX(Build_Schedule,,1)))*Inputs!C74*(1+Inputs!D74)^1/IFERROR(Inputs!C12*1000,1)+SUMPRODUCT(--(INDEX(Build_Schedule,,1)&lt;2),INDEX(Build_Schedule,,2)*1000*(1-Inputs!C41)^(2-INDEX(Build_Schedule,,1)))*Inputs!C75*(1+Inputs!D75)^1/IFERROR(Inputs!C12*1000,1)+SUMPRODUCT(--(INDEX(Build_Schedule,,1)&lt;2),INDEX(Build_Schedule,,2)*1000*(1-Inputs!C41)^(2-INDEX(Build_Schedule,,1)))*Inputs!C76*(1+Inputs!D76)^1/IFERROR(Inputs!C12*1000,1)+SUMPRODUCT(--(INDEX(Build_Schedule,,1)&lt;2),INDEX(Build_Schedule,,2)*1000*(1-Inputs!C41)^(2-INDEX(Build_Schedule,,1)))*Inputs!C77*(1+Inputs!D77)^1/IFERROR(Inputs!C12*1000,1)+SUMPRODUCT(--(INDEX(Build_Schedule,,1)&lt;2),INDEX(Build_Schedule,,2)*1000*(1-Inputs!C41)^(2-INDEX(Build_Schedule,,1)))*Inputs!C78*(1+Inputs!D78)^1/IFERROR(Inputs!C12*1000,1)+SUMPRODUCT(--(INDEX(Build_Schedule,,1)&lt;2),INDEX(Build_Schedule,,2)*1000*(1-Inputs!C41)^(2-INDEX(Build_Schedule,,1)))*Inputs!C79*(1+Inputs!D79)^1/IFERROR(Inputs!C12*1000,1)</f>
        <v>0</v>
      </c>
      <c r="K7" s="16">
        <f>J7/(1+Inputs!C16)^2</f>
        <v>0</v>
      </c>
      <c r="L7" s="16">
        <f>J7-H7</f>
        <v>0</v>
      </c>
      <c r="M7" s="16">
        <f>L7/(1+Inputs!C16)^2</f>
        <v>0</v>
      </c>
      <c r="N7" s="16">
        <f>N6+L7</f>
        <v>0</v>
      </c>
      <c r="O7" s="17">
        <f>SUMPRODUCT(--(INDEX(Build_Schedule,,1)&lt;2),INDEX(Build_Schedule,,2)*Inputs!C13*Inputs!C44*365*Inputs!C40*(1-Inputs!C41)^(2-INDEX(Build_Schedule,,1)))</f>
        <v>0</v>
      </c>
    </row>
    <row r="8" spans="2:15">
      <c r="B8" s="15">
        <v>3</v>
      </c>
      <c r="C8" s="16">
        <f>SUMPRODUCT(--(INDEX(Build_Schedule,,1)=3),(INDEX(Build_Schedule,,2)*1000*Inputs!C13)*(Inputs!C46*(1-Inputs!C81)^MAX(0,3-Inputs!C82))*(1-INDEX(Build_Schedule,,3)))</f>
        <v>0</v>
      </c>
      <c r="D8" s="16">
        <f>SUMPRODUCT(--(INDEX(Build_Schedule,,1)&lt;3),INDEX(Build_Schedule,,2)*1000*Inputs!C47)</f>
        <v>0</v>
      </c>
      <c r="E8" s="16">
        <f>SUMPRODUCT(--(INDEX(Build_Schedule,,1)&lt;3),INDEX(Build_Schedule,,2)*1000*Inputs!C13*Inputs!C44*365*Inputs!C40*(1-Inputs!C41)^(3-INDEX(Build_Schedule,,1))*Inputs!C51)</f>
        <v>0</v>
      </c>
      <c r="F8" s="16">
        <f>SUMPRODUCT(--(INDEX(Build_Schedule,,1)+Inputs!C43=3),INDEX(Build_Schedule,,2)*1000*Inputs!C13*Inputs!C49*(1-Inputs!C81)^MAX(0,Inputs!C43))</f>
        <v>0</v>
      </c>
      <c r="G8" s="16">
        <f>SUMPRODUCT(--(INDEX(Build_Schedule,,1)=3),INDEX(Build_Schedule,,2)*1000*(Inputs!C57+Inputs!C58+Inputs!C59))</f>
        <v>0</v>
      </c>
      <c r="H8" s="16">
        <f>SUM(C8:G8)</f>
        <v>0</v>
      </c>
      <c r="I8" s="16">
        <f>H8/(1+Inputs!C16)^3</f>
        <v>0</v>
      </c>
      <c r="J8" s="16">
        <f>SUMPRODUCT(--(INDEX(Build_Schedule,,1)&lt;3),INDEX(Build_Schedule,,2)*1000*(1-Inputs!C41)^(3-INDEX(Build_Schedule,,1)))*Inputs!C72*(1+Inputs!D72)^2/IFERROR(Inputs!C12*1000,1)+SUMPRODUCT(--(INDEX(Build_Schedule,,1)&lt;3),INDEX(Build_Schedule,,2)*1000*(1-Inputs!C41)^(3-INDEX(Build_Schedule,,1)))*Inputs!C73*(1+Inputs!D73)^2/IFERROR(Inputs!C12*1000,1)+SUMPRODUCT(--(INDEX(Build_Schedule,,1)&lt;3),INDEX(Build_Schedule,,2)*1000*(1-Inputs!C41)^(3-INDEX(Build_Schedule,,1)))*Inputs!C74*(1+Inputs!D74)^2/IFERROR(Inputs!C12*1000,1)+SUMPRODUCT(--(INDEX(Build_Schedule,,1)&lt;3),INDEX(Build_Schedule,,2)*1000*(1-Inputs!C41)^(3-INDEX(Build_Schedule,,1)))*Inputs!C75*(1+Inputs!D75)^2/IFERROR(Inputs!C12*1000,1)+SUMPRODUCT(--(INDEX(Build_Schedule,,1)&lt;3),INDEX(Build_Schedule,,2)*1000*(1-Inputs!C41)^(3-INDEX(Build_Schedule,,1)))*Inputs!C76*(1+Inputs!D76)^2/IFERROR(Inputs!C12*1000,1)+SUMPRODUCT(--(INDEX(Build_Schedule,,1)&lt;3),INDEX(Build_Schedule,,2)*1000*(1-Inputs!C41)^(3-INDEX(Build_Schedule,,1)))*Inputs!C77*(1+Inputs!D77)^2/IFERROR(Inputs!C12*1000,1)+SUMPRODUCT(--(INDEX(Build_Schedule,,1)&lt;3),INDEX(Build_Schedule,,2)*1000*(1-Inputs!C41)^(3-INDEX(Build_Schedule,,1)))*Inputs!C78*(1+Inputs!D78)^2/IFERROR(Inputs!C12*1000,1)+SUMPRODUCT(--(INDEX(Build_Schedule,,1)&lt;3),INDEX(Build_Schedule,,2)*1000*(1-Inputs!C41)^(3-INDEX(Build_Schedule,,1)))*Inputs!C79*(1+Inputs!D79)^2/IFERROR(Inputs!C12*1000,1)</f>
        <v>0</v>
      </c>
      <c r="K8" s="16">
        <f>J8/(1+Inputs!C16)^3</f>
        <v>0</v>
      </c>
      <c r="L8" s="16">
        <f>J8-H8</f>
        <v>0</v>
      </c>
      <c r="M8" s="16">
        <f>L8/(1+Inputs!C16)^3</f>
        <v>0</v>
      </c>
      <c r="N8" s="16">
        <f>N7+L8</f>
        <v>0</v>
      </c>
      <c r="O8" s="17">
        <f>SUMPRODUCT(--(INDEX(Build_Schedule,,1)&lt;3),INDEX(Build_Schedule,,2)*Inputs!C13*Inputs!C44*365*Inputs!C40*(1-Inputs!C41)^(3-INDEX(Build_Schedule,,1)))</f>
        <v>0</v>
      </c>
    </row>
    <row r="9" spans="2:15">
      <c r="B9" s="15">
        <v>4</v>
      </c>
      <c r="C9" s="16">
        <f>SUMPRODUCT(--(INDEX(Build_Schedule,,1)=4),(INDEX(Build_Schedule,,2)*1000*Inputs!C13)*(Inputs!C46*(1-Inputs!C81)^MAX(0,4-Inputs!C82))*(1-INDEX(Build_Schedule,,3)))</f>
        <v>0</v>
      </c>
      <c r="D9" s="16">
        <f>SUMPRODUCT(--(INDEX(Build_Schedule,,1)&lt;4),INDEX(Build_Schedule,,2)*1000*Inputs!C47)</f>
        <v>0</v>
      </c>
      <c r="E9" s="16">
        <f>SUMPRODUCT(--(INDEX(Build_Schedule,,1)&lt;4),INDEX(Build_Schedule,,2)*1000*Inputs!C13*Inputs!C44*365*Inputs!C40*(1-Inputs!C41)^(4-INDEX(Build_Schedule,,1))*Inputs!C51)</f>
        <v>0</v>
      </c>
      <c r="F9" s="16">
        <f>SUMPRODUCT(--(INDEX(Build_Schedule,,1)+Inputs!C43=4),INDEX(Build_Schedule,,2)*1000*Inputs!C13*Inputs!C49*(1-Inputs!C81)^MAX(0,Inputs!C43))</f>
        <v>0</v>
      </c>
      <c r="G9" s="16">
        <f>SUMPRODUCT(--(INDEX(Build_Schedule,,1)=4),INDEX(Build_Schedule,,2)*1000*(Inputs!C57+Inputs!C58+Inputs!C59))</f>
        <v>0</v>
      </c>
      <c r="H9" s="16">
        <f>SUM(C9:G9)</f>
        <v>0</v>
      </c>
      <c r="I9" s="16">
        <f>H9/(1+Inputs!C16)^4</f>
        <v>0</v>
      </c>
      <c r="J9" s="16">
        <f>SUMPRODUCT(--(INDEX(Build_Schedule,,1)&lt;4),INDEX(Build_Schedule,,2)*1000*(1-Inputs!C41)^(4-INDEX(Build_Schedule,,1)))*Inputs!C72*(1+Inputs!D72)^3/IFERROR(Inputs!C12*1000,1)+SUMPRODUCT(--(INDEX(Build_Schedule,,1)&lt;4),INDEX(Build_Schedule,,2)*1000*(1-Inputs!C41)^(4-INDEX(Build_Schedule,,1)))*Inputs!C73*(1+Inputs!D73)^3/IFERROR(Inputs!C12*1000,1)+SUMPRODUCT(--(INDEX(Build_Schedule,,1)&lt;4),INDEX(Build_Schedule,,2)*1000*(1-Inputs!C41)^(4-INDEX(Build_Schedule,,1)))*Inputs!C74*(1+Inputs!D74)^3/IFERROR(Inputs!C12*1000,1)+SUMPRODUCT(--(INDEX(Build_Schedule,,1)&lt;4),INDEX(Build_Schedule,,2)*1000*(1-Inputs!C41)^(4-INDEX(Build_Schedule,,1)))*Inputs!C75*(1+Inputs!D75)^3/IFERROR(Inputs!C12*1000,1)+SUMPRODUCT(--(INDEX(Build_Schedule,,1)&lt;4),INDEX(Build_Schedule,,2)*1000*(1-Inputs!C41)^(4-INDEX(Build_Schedule,,1)))*Inputs!C76*(1+Inputs!D76)^3/IFERROR(Inputs!C12*1000,1)+SUMPRODUCT(--(INDEX(Build_Schedule,,1)&lt;4),INDEX(Build_Schedule,,2)*1000*(1-Inputs!C41)^(4-INDEX(Build_Schedule,,1)))*Inputs!C77*(1+Inputs!D77)^3/IFERROR(Inputs!C12*1000,1)+SUMPRODUCT(--(INDEX(Build_Schedule,,1)&lt;4),INDEX(Build_Schedule,,2)*1000*(1-Inputs!C41)^(4-INDEX(Build_Schedule,,1)))*Inputs!C78*(1+Inputs!D78)^3/IFERROR(Inputs!C12*1000,1)+SUMPRODUCT(--(INDEX(Build_Schedule,,1)&lt;4),INDEX(Build_Schedule,,2)*1000*(1-Inputs!C41)^(4-INDEX(Build_Schedule,,1)))*Inputs!C79*(1+Inputs!D79)^3/IFERROR(Inputs!C12*1000,1)</f>
        <v>0</v>
      </c>
      <c r="K9" s="16">
        <f>J9/(1+Inputs!C16)^4</f>
        <v>0</v>
      </c>
      <c r="L9" s="16">
        <f>J9-H9</f>
        <v>0</v>
      </c>
      <c r="M9" s="16">
        <f>L9/(1+Inputs!C16)^4</f>
        <v>0</v>
      </c>
      <c r="N9" s="16">
        <f>N8+L9</f>
        <v>0</v>
      </c>
      <c r="O9" s="17">
        <f>SUMPRODUCT(--(INDEX(Build_Schedule,,1)&lt;4),INDEX(Build_Schedule,,2)*Inputs!C13*Inputs!C44*365*Inputs!C40*(1-Inputs!C41)^(4-INDEX(Build_Schedule,,1)))</f>
        <v>0</v>
      </c>
    </row>
    <row r="10" spans="2:15">
      <c r="B10" s="15">
        <v>5</v>
      </c>
      <c r="C10" s="16">
        <f>SUMPRODUCT(--(INDEX(Build_Schedule,,1)=5),(INDEX(Build_Schedule,,2)*1000*Inputs!C13)*(Inputs!C46*(1-Inputs!C81)^MAX(0,5-Inputs!C82))*(1-INDEX(Build_Schedule,,3)))</f>
        <v>0</v>
      </c>
      <c r="D10" s="16">
        <f>SUMPRODUCT(--(INDEX(Build_Schedule,,1)&lt;5),INDEX(Build_Schedule,,2)*1000*Inputs!C47)</f>
        <v>0</v>
      </c>
      <c r="E10" s="16">
        <f>SUMPRODUCT(--(INDEX(Build_Schedule,,1)&lt;5),INDEX(Build_Schedule,,2)*1000*Inputs!C13*Inputs!C44*365*Inputs!C40*(1-Inputs!C41)^(5-INDEX(Build_Schedule,,1))*Inputs!C51)</f>
        <v>0</v>
      </c>
      <c r="F10" s="16">
        <f>SUMPRODUCT(--(INDEX(Build_Schedule,,1)+Inputs!C43=5),INDEX(Build_Schedule,,2)*1000*Inputs!C13*Inputs!C49*(1-Inputs!C81)^MAX(0,Inputs!C43))</f>
        <v>0</v>
      </c>
      <c r="G10" s="16">
        <f>SUMPRODUCT(--(INDEX(Build_Schedule,,1)=5),INDEX(Build_Schedule,,2)*1000*(Inputs!C57+Inputs!C58+Inputs!C59))</f>
        <v>0</v>
      </c>
      <c r="H10" s="16">
        <f>SUM(C10:G10)</f>
        <v>0</v>
      </c>
      <c r="I10" s="16">
        <f>H10/(1+Inputs!C16)^5</f>
        <v>0</v>
      </c>
      <c r="J10" s="16">
        <f>SUMPRODUCT(--(INDEX(Build_Schedule,,1)&lt;5),INDEX(Build_Schedule,,2)*1000*(1-Inputs!C41)^(5-INDEX(Build_Schedule,,1)))*Inputs!C72*(1+Inputs!D72)^4/IFERROR(Inputs!C12*1000,1)+SUMPRODUCT(--(INDEX(Build_Schedule,,1)&lt;5),INDEX(Build_Schedule,,2)*1000*(1-Inputs!C41)^(5-INDEX(Build_Schedule,,1)))*Inputs!C73*(1+Inputs!D73)^4/IFERROR(Inputs!C12*1000,1)+SUMPRODUCT(--(INDEX(Build_Schedule,,1)&lt;5),INDEX(Build_Schedule,,2)*1000*(1-Inputs!C41)^(5-INDEX(Build_Schedule,,1)))*Inputs!C74*(1+Inputs!D74)^4/IFERROR(Inputs!C12*1000,1)+SUMPRODUCT(--(INDEX(Build_Schedule,,1)&lt;5),INDEX(Build_Schedule,,2)*1000*(1-Inputs!C41)^(5-INDEX(Build_Schedule,,1)))*Inputs!C75*(1+Inputs!D75)^4/IFERROR(Inputs!C12*1000,1)+SUMPRODUCT(--(INDEX(Build_Schedule,,1)&lt;5),INDEX(Build_Schedule,,2)*1000*(1-Inputs!C41)^(5-INDEX(Build_Schedule,,1)))*Inputs!C76*(1+Inputs!D76)^4/IFERROR(Inputs!C12*1000,1)+SUMPRODUCT(--(INDEX(Build_Schedule,,1)&lt;5),INDEX(Build_Schedule,,2)*1000*(1-Inputs!C41)^(5-INDEX(Build_Schedule,,1)))*Inputs!C77*(1+Inputs!D77)^4/IFERROR(Inputs!C12*1000,1)+SUMPRODUCT(--(INDEX(Build_Schedule,,1)&lt;5),INDEX(Build_Schedule,,2)*1000*(1-Inputs!C41)^(5-INDEX(Build_Schedule,,1)))*Inputs!C78*(1+Inputs!D78)^4/IFERROR(Inputs!C12*1000,1)+SUMPRODUCT(--(INDEX(Build_Schedule,,1)&lt;5),INDEX(Build_Schedule,,2)*1000*(1-Inputs!C41)^(5-INDEX(Build_Schedule,,1)))*Inputs!C79*(1+Inputs!D79)^4/IFERROR(Inputs!C12*1000,1)</f>
        <v>0</v>
      </c>
      <c r="K10" s="16">
        <f>J10/(1+Inputs!C16)^5</f>
        <v>0</v>
      </c>
      <c r="L10" s="16">
        <f>J10-H10</f>
        <v>0</v>
      </c>
      <c r="M10" s="16">
        <f>L10/(1+Inputs!C16)^5</f>
        <v>0</v>
      </c>
      <c r="N10" s="16">
        <f>N9+L10</f>
        <v>0</v>
      </c>
      <c r="O10" s="17">
        <f>SUMPRODUCT(--(INDEX(Build_Schedule,,1)&lt;5),INDEX(Build_Schedule,,2)*Inputs!C13*Inputs!C44*365*Inputs!C40*(1-Inputs!C41)^(5-INDEX(Build_Schedule,,1)))</f>
        <v>0</v>
      </c>
    </row>
    <row r="11" spans="2:15">
      <c r="B11" s="15">
        <v>6</v>
      </c>
      <c r="C11" s="16">
        <f>SUMPRODUCT(--(INDEX(Build_Schedule,,1)=6),(INDEX(Build_Schedule,,2)*1000*Inputs!C13)*(Inputs!C46*(1-Inputs!C81)^MAX(0,6-Inputs!C82))*(1-INDEX(Build_Schedule,,3)))</f>
        <v>0</v>
      </c>
      <c r="D11" s="16">
        <f>SUMPRODUCT(--(INDEX(Build_Schedule,,1)&lt;6),INDEX(Build_Schedule,,2)*1000*Inputs!C47)</f>
        <v>0</v>
      </c>
      <c r="E11" s="16">
        <f>SUMPRODUCT(--(INDEX(Build_Schedule,,1)&lt;6),INDEX(Build_Schedule,,2)*1000*Inputs!C13*Inputs!C44*365*Inputs!C40*(1-Inputs!C41)^(6-INDEX(Build_Schedule,,1))*Inputs!C51)</f>
        <v>0</v>
      </c>
      <c r="F11" s="16">
        <f>SUMPRODUCT(--(INDEX(Build_Schedule,,1)+Inputs!C43=6),INDEX(Build_Schedule,,2)*1000*Inputs!C13*Inputs!C49*(1-Inputs!C81)^MAX(0,Inputs!C43))</f>
        <v>0</v>
      </c>
      <c r="G11" s="16">
        <f>SUMPRODUCT(--(INDEX(Build_Schedule,,1)=6),INDEX(Build_Schedule,,2)*1000*(Inputs!C57+Inputs!C58+Inputs!C59))</f>
        <v>0</v>
      </c>
      <c r="H11" s="16">
        <f>SUM(C11:G11)</f>
        <v>0</v>
      </c>
      <c r="I11" s="16">
        <f>H11/(1+Inputs!C16)^6</f>
        <v>0</v>
      </c>
      <c r="J11" s="16">
        <f>SUMPRODUCT(--(INDEX(Build_Schedule,,1)&lt;6),INDEX(Build_Schedule,,2)*1000*(1-Inputs!C41)^(6-INDEX(Build_Schedule,,1)))*Inputs!C72*(1+Inputs!D72)^5/IFERROR(Inputs!C12*1000,1)+SUMPRODUCT(--(INDEX(Build_Schedule,,1)&lt;6),INDEX(Build_Schedule,,2)*1000*(1-Inputs!C41)^(6-INDEX(Build_Schedule,,1)))*Inputs!C73*(1+Inputs!D73)^5/IFERROR(Inputs!C12*1000,1)+SUMPRODUCT(--(INDEX(Build_Schedule,,1)&lt;6),INDEX(Build_Schedule,,2)*1000*(1-Inputs!C41)^(6-INDEX(Build_Schedule,,1)))*Inputs!C74*(1+Inputs!D74)^5/IFERROR(Inputs!C12*1000,1)+SUMPRODUCT(--(INDEX(Build_Schedule,,1)&lt;6),INDEX(Build_Schedule,,2)*1000*(1-Inputs!C41)^(6-INDEX(Build_Schedule,,1)))*Inputs!C75*(1+Inputs!D75)^5/IFERROR(Inputs!C12*1000,1)+SUMPRODUCT(--(INDEX(Build_Schedule,,1)&lt;6),INDEX(Build_Schedule,,2)*1000*(1-Inputs!C41)^(6-INDEX(Build_Schedule,,1)))*Inputs!C76*(1+Inputs!D76)^5/IFERROR(Inputs!C12*1000,1)+SUMPRODUCT(--(INDEX(Build_Schedule,,1)&lt;6),INDEX(Build_Schedule,,2)*1000*(1-Inputs!C41)^(6-INDEX(Build_Schedule,,1)))*Inputs!C77*(1+Inputs!D77)^5/IFERROR(Inputs!C12*1000,1)+SUMPRODUCT(--(INDEX(Build_Schedule,,1)&lt;6),INDEX(Build_Schedule,,2)*1000*(1-Inputs!C41)^(6-INDEX(Build_Schedule,,1)))*Inputs!C78*(1+Inputs!D78)^5/IFERROR(Inputs!C12*1000,1)+SUMPRODUCT(--(INDEX(Build_Schedule,,1)&lt;6),INDEX(Build_Schedule,,2)*1000*(1-Inputs!C41)^(6-INDEX(Build_Schedule,,1)))*Inputs!C79*(1+Inputs!D79)^5/IFERROR(Inputs!C12*1000,1)</f>
        <v>0</v>
      </c>
      <c r="K11" s="16">
        <f>J11/(1+Inputs!C16)^6</f>
        <v>0</v>
      </c>
      <c r="L11" s="16">
        <f>J11-H11</f>
        <v>0</v>
      </c>
      <c r="M11" s="16">
        <f>L11/(1+Inputs!C16)^6</f>
        <v>0</v>
      </c>
      <c r="N11" s="16">
        <f>N10+L11</f>
        <v>0</v>
      </c>
      <c r="O11" s="17">
        <f>SUMPRODUCT(--(INDEX(Build_Schedule,,1)&lt;6),INDEX(Build_Schedule,,2)*Inputs!C13*Inputs!C44*365*Inputs!C40*(1-Inputs!C41)^(6-INDEX(Build_Schedule,,1)))</f>
        <v>0</v>
      </c>
    </row>
    <row r="12" spans="2:15">
      <c r="B12" s="15">
        <v>7</v>
      </c>
      <c r="C12" s="16">
        <f>SUMPRODUCT(--(INDEX(Build_Schedule,,1)=7),(INDEX(Build_Schedule,,2)*1000*Inputs!C13)*(Inputs!C46*(1-Inputs!C81)^MAX(0,7-Inputs!C82))*(1-INDEX(Build_Schedule,,3)))</f>
        <v>0</v>
      </c>
      <c r="D12" s="16">
        <f>SUMPRODUCT(--(INDEX(Build_Schedule,,1)&lt;7),INDEX(Build_Schedule,,2)*1000*Inputs!C47)</f>
        <v>0</v>
      </c>
      <c r="E12" s="16">
        <f>SUMPRODUCT(--(INDEX(Build_Schedule,,1)&lt;7),INDEX(Build_Schedule,,2)*1000*Inputs!C13*Inputs!C44*365*Inputs!C40*(1-Inputs!C41)^(7-INDEX(Build_Schedule,,1))*Inputs!C51)</f>
        <v>0</v>
      </c>
      <c r="F12" s="16">
        <f>SUMPRODUCT(--(INDEX(Build_Schedule,,1)+Inputs!C43=7),INDEX(Build_Schedule,,2)*1000*Inputs!C13*Inputs!C49*(1-Inputs!C81)^MAX(0,Inputs!C43))</f>
        <v>0</v>
      </c>
      <c r="G12" s="16">
        <f>SUMPRODUCT(--(INDEX(Build_Schedule,,1)=7),INDEX(Build_Schedule,,2)*1000*(Inputs!C57+Inputs!C58+Inputs!C59))</f>
        <v>0</v>
      </c>
      <c r="H12" s="16">
        <f>SUM(C12:G12)</f>
        <v>0</v>
      </c>
      <c r="I12" s="16">
        <f>H12/(1+Inputs!C16)^7</f>
        <v>0</v>
      </c>
      <c r="J12" s="16">
        <f>SUMPRODUCT(--(INDEX(Build_Schedule,,1)&lt;7),INDEX(Build_Schedule,,2)*1000*(1-Inputs!C41)^(7-INDEX(Build_Schedule,,1)))*Inputs!C72*(1+Inputs!D72)^6/IFERROR(Inputs!C12*1000,1)+SUMPRODUCT(--(INDEX(Build_Schedule,,1)&lt;7),INDEX(Build_Schedule,,2)*1000*(1-Inputs!C41)^(7-INDEX(Build_Schedule,,1)))*Inputs!C73*(1+Inputs!D73)^6/IFERROR(Inputs!C12*1000,1)+SUMPRODUCT(--(INDEX(Build_Schedule,,1)&lt;7),INDEX(Build_Schedule,,2)*1000*(1-Inputs!C41)^(7-INDEX(Build_Schedule,,1)))*Inputs!C74*(1+Inputs!D74)^6/IFERROR(Inputs!C12*1000,1)+SUMPRODUCT(--(INDEX(Build_Schedule,,1)&lt;7),INDEX(Build_Schedule,,2)*1000*(1-Inputs!C41)^(7-INDEX(Build_Schedule,,1)))*Inputs!C75*(1+Inputs!D75)^6/IFERROR(Inputs!C12*1000,1)+SUMPRODUCT(--(INDEX(Build_Schedule,,1)&lt;7),INDEX(Build_Schedule,,2)*1000*(1-Inputs!C41)^(7-INDEX(Build_Schedule,,1)))*Inputs!C76*(1+Inputs!D76)^6/IFERROR(Inputs!C12*1000,1)+SUMPRODUCT(--(INDEX(Build_Schedule,,1)&lt;7),INDEX(Build_Schedule,,2)*1000*(1-Inputs!C41)^(7-INDEX(Build_Schedule,,1)))*Inputs!C77*(1+Inputs!D77)^6/IFERROR(Inputs!C12*1000,1)+SUMPRODUCT(--(INDEX(Build_Schedule,,1)&lt;7),INDEX(Build_Schedule,,2)*1000*(1-Inputs!C41)^(7-INDEX(Build_Schedule,,1)))*Inputs!C78*(1+Inputs!D78)^6/IFERROR(Inputs!C12*1000,1)+SUMPRODUCT(--(INDEX(Build_Schedule,,1)&lt;7),INDEX(Build_Schedule,,2)*1000*(1-Inputs!C41)^(7-INDEX(Build_Schedule,,1)))*Inputs!C79*(1+Inputs!D79)^6/IFERROR(Inputs!C12*1000,1)</f>
        <v>0</v>
      </c>
      <c r="K12" s="16">
        <f>J12/(1+Inputs!C16)^7</f>
        <v>0</v>
      </c>
      <c r="L12" s="16">
        <f>J12-H12</f>
        <v>0</v>
      </c>
      <c r="M12" s="16">
        <f>L12/(1+Inputs!C16)^7</f>
        <v>0</v>
      </c>
      <c r="N12" s="16">
        <f>N11+L12</f>
        <v>0</v>
      </c>
      <c r="O12" s="17">
        <f>SUMPRODUCT(--(INDEX(Build_Schedule,,1)&lt;7),INDEX(Build_Schedule,,2)*Inputs!C13*Inputs!C44*365*Inputs!C40*(1-Inputs!C41)^(7-INDEX(Build_Schedule,,1)))</f>
        <v>0</v>
      </c>
    </row>
    <row r="13" spans="2:15">
      <c r="B13" s="15">
        <v>8</v>
      </c>
      <c r="C13" s="16">
        <f>SUMPRODUCT(--(INDEX(Build_Schedule,,1)=8),(INDEX(Build_Schedule,,2)*1000*Inputs!C13)*(Inputs!C46*(1-Inputs!C81)^MAX(0,8-Inputs!C82))*(1-INDEX(Build_Schedule,,3)))</f>
        <v>0</v>
      </c>
      <c r="D13" s="16">
        <f>SUMPRODUCT(--(INDEX(Build_Schedule,,1)&lt;8),INDEX(Build_Schedule,,2)*1000*Inputs!C47)</f>
        <v>0</v>
      </c>
      <c r="E13" s="16">
        <f>SUMPRODUCT(--(INDEX(Build_Schedule,,1)&lt;8),INDEX(Build_Schedule,,2)*1000*Inputs!C13*Inputs!C44*365*Inputs!C40*(1-Inputs!C41)^(8-INDEX(Build_Schedule,,1))*Inputs!C51)</f>
        <v>0</v>
      </c>
      <c r="F13" s="16">
        <f>SUMPRODUCT(--(INDEX(Build_Schedule,,1)+Inputs!C43=8),INDEX(Build_Schedule,,2)*1000*Inputs!C13*Inputs!C49*(1-Inputs!C81)^MAX(0,Inputs!C43))</f>
        <v>0</v>
      </c>
      <c r="G13" s="16">
        <f>SUMPRODUCT(--(INDEX(Build_Schedule,,1)=8),INDEX(Build_Schedule,,2)*1000*(Inputs!C57+Inputs!C58+Inputs!C59))</f>
        <v>0</v>
      </c>
      <c r="H13" s="16">
        <f>SUM(C13:G13)</f>
        <v>0</v>
      </c>
      <c r="I13" s="16">
        <f>H13/(1+Inputs!C16)^8</f>
        <v>0</v>
      </c>
      <c r="J13" s="16">
        <f>SUMPRODUCT(--(INDEX(Build_Schedule,,1)&lt;8),INDEX(Build_Schedule,,2)*1000*(1-Inputs!C41)^(8-INDEX(Build_Schedule,,1)))*Inputs!C72*(1+Inputs!D72)^7/IFERROR(Inputs!C12*1000,1)+SUMPRODUCT(--(INDEX(Build_Schedule,,1)&lt;8),INDEX(Build_Schedule,,2)*1000*(1-Inputs!C41)^(8-INDEX(Build_Schedule,,1)))*Inputs!C73*(1+Inputs!D73)^7/IFERROR(Inputs!C12*1000,1)+SUMPRODUCT(--(INDEX(Build_Schedule,,1)&lt;8),INDEX(Build_Schedule,,2)*1000*(1-Inputs!C41)^(8-INDEX(Build_Schedule,,1)))*Inputs!C74*(1+Inputs!D74)^7/IFERROR(Inputs!C12*1000,1)+SUMPRODUCT(--(INDEX(Build_Schedule,,1)&lt;8),INDEX(Build_Schedule,,2)*1000*(1-Inputs!C41)^(8-INDEX(Build_Schedule,,1)))*Inputs!C75*(1+Inputs!D75)^7/IFERROR(Inputs!C12*1000,1)+SUMPRODUCT(--(INDEX(Build_Schedule,,1)&lt;8),INDEX(Build_Schedule,,2)*1000*(1-Inputs!C41)^(8-INDEX(Build_Schedule,,1)))*Inputs!C76*(1+Inputs!D76)^7/IFERROR(Inputs!C12*1000,1)+SUMPRODUCT(--(INDEX(Build_Schedule,,1)&lt;8),INDEX(Build_Schedule,,2)*1000*(1-Inputs!C41)^(8-INDEX(Build_Schedule,,1)))*Inputs!C77*(1+Inputs!D77)^7/IFERROR(Inputs!C12*1000,1)+SUMPRODUCT(--(INDEX(Build_Schedule,,1)&lt;8),INDEX(Build_Schedule,,2)*1000*(1-Inputs!C41)^(8-INDEX(Build_Schedule,,1)))*Inputs!C78*(1+Inputs!D78)^7/IFERROR(Inputs!C12*1000,1)+SUMPRODUCT(--(INDEX(Build_Schedule,,1)&lt;8),INDEX(Build_Schedule,,2)*1000*(1-Inputs!C41)^(8-INDEX(Build_Schedule,,1)))*Inputs!C79*(1+Inputs!D79)^7/IFERROR(Inputs!C12*1000,1)</f>
        <v>0</v>
      </c>
      <c r="K13" s="16">
        <f>J13/(1+Inputs!C16)^8</f>
        <v>0</v>
      </c>
      <c r="L13" s="16">
        <f>J13-H13</f>
        <v>0</v>
      </c>
      <c r="M13" s="16">
        <f>L13/(1+Inputs!C16)^8</f>
        <v>0</v>
      </c>
      <c r="N13" s="16">
        <f>N12+L13</f>
        <v>0</v>
      </c>
      <c r="O13" s="17">
        <f>SUMPRODUCT(--(INDEX(Build_Schedule,,1)&lt;8),INDEX(Build_Schedule,,2)*Inputs!C13*Inputs!C44*365*Inputs!C40*(1-Inputs!C41)^(8-INDEX(Build_Schedule,,1)))</f>
        <v>0</v>
      </c>
    </row>
    <row r="14" spans="2:15">
      <c r="B14" s="15">
        <v>9</v>
      </c>
      <c r="C14" s="16">
        <f>SUMPRODUCT(--(INDEX(Build_Schedule,,1)=9),(INDEX(Build_Schedule,,2)*1000*Inputs!C13)*(Inputs!C46*(1-Inputs!C81)^MAX(0,9-Inputs!C82))*(1-INDEX(Build_Schedule,,3)))</f>
        <v>0</v>
      </c>
      <c r="D14" s="16">
        <f>SUMPRODUCT(--(INDEX(Build_Schedule,,1)&lt;9),INDEX(Build_Schedule,,2)*1000*Inputs!C47)</f>
        <v>0</v>
      </c>
      <c r="E14" s="16">
        <f>SUMPRODUCT(--(INDEX(Build_Schedule,,1)&lt;9),INDEX(Build_Schedule,,2)*1000*Inputs!C13*Inputs!C44*365*Inputs!C40*(1-Inputs!C41)^(9-INDEX(Build_Schedule,,1))*Inputs!C51)</f>
        <v>0</v>
      </c>
      <c r="F14" s="16">
        <f>SUMPRODUCT(--(INDEX(Build_Schedule,,1)+Inputs!C43=9),INDEX(Build_Schedule,,2)*1000*Inputs!C13*Inputs!C49*(1-Inputs!C81)^MAX(0,Inputs!C43))</f>
        <v>0</v>
      </c>
      <c r="G14" s="16">
        <f>SUMPRODUCT(--(INDEX(Build_Schedule,,1)=9),INDEX(Build_Schedule,,2)*1000*(Inputs!C57+Inputs!C58+Inputs!C59))</f>
        <v>0</v>
      </c>
      <c r="H14" s="16">
        <f>SUM(C14:G14)</f>
        <v>0</v>
      </c>
      <c r="I14" s="16">
        <f>H14/(1+Inputs!C16)^9</f>
        <v>0</v>
      </c>
      <c r="J14" s="16">
        <f>SUMPRODUCT(--(INDEX(Build_Schedule,,1)&lt;9),INDEX(Build_Schedule,,2)*1000*(1-Inputs!C41)^(9-INDEX(Build_Schedule,,1)))*Inputs!C72*(1+Inputs!D72)^8/IFERROR(Inputs!C12*1000,1)+SUMPRODUCT(--(INDEX(Build_Schedule,,1)&lt;9),INDEX(Build_Schedule,,2)*1000*(1-Inputs!C41)^(9-INDEX(Build_Schedule,,1)))*Inputs!C73*(1+Inputs!D73)^8/IFERROR(Inputs!C12*1000,1)+SUMPRODUCT(--(INDEX(Build_Schedule,,1)&lt;9),INDEX(Build_Schedule,,2)*1000*(1-Inputs!C41)^(9-INDEX(Build_Schedule,,1)))*Inputs!C74*(1+Inputs!D74)^8/IFERROR(Inputs!C12*1000,1)+SUMPRODUCT(--(INDEX(Build_Schedule,,1)&lt;9),INDEX(Build_Schedule,,2)*1000*(1-Inputs!C41)^(9-INDEX(Build_Schedule,,1)))*Inputs!C75*(1+Inputs!D75)^8/IFERROR(Inputs!C12*1000,1)+SUMPRODUCT(--(INDEX(Build_Schedule,,1)&lt;9),INDEX(Build_Schedule,,2)*1000*(1-Inputs!C41)^(9-INDEX(Build_Schedule,,1)))*Inputs!C76*(1+Inputs!D76)^8/IFERROR(Inputs!C12*1000,1)+SUMPRODUCT(--(INDEX(Build_Schedule,,1)&lt;9),INDEX(Build_Schedule,,2)*1000*(1-Inputs!C41)^(9-INDEX(Build_Schedule,,1)))*Inputs!C77*(1+Inputs!D77)^8/IFERROR(Inputs!C12*1000,1)+SUMPRODUCT(--(INDEX(Build_Schedule,,1)&lt;9),INDEX(Build_Schedule,,2)*1000*(1-Inputs!C41)^(9-INDEX(Build_Schedule,,1)))*Inputs!C78*(1+Inputs!D78)^8/IFERROR(Inputs!C12*1000,1)+SUMPRODUCT(--(INDEX(Build_Schedule,,1)&lt;9),INDEX(Build_Schedule,,2)*1000*(1-Inputs!C41)^(9-INDEX(Build_Schedule,,1)))*Inputs!C79*(1+Inputs!D79)^8/IFERROR(Inputs!C12*1000,1)</f>
        <v>0</v>
      </c>
      <c r="K14" s="16">
        <f>J14/(1+Inputs!C16)^9</f>
        <v>0</v>
      </c>
      <c r="L14" s="16">
        <f>J14-H14</f>
        <v>0</v>
      </c>
      <c r="M14" s="16">
        <f>L14/(1+Inputs!C16)^9</f>
        <v>0</v>
      </c>
      <c r="N14" s="16">
        <f>N13+L14</f>
        <v>0</v>
      </c>
      <c r="O14" s="17">
        <f>SUMPRODUCT(--(INDEX(Build_Schedule,,1)&lt;9),INDEX(Build_Schedule,,2)*Inputs!C13*Inputs!C44*365*Inputs!C40*(1-Inputs!C41)^(9-INDEX(Build_Schedule,,1)))</f>
        <v>0</v>
      </c>
    </row>
    <row r="15" spans="2:15">
      <c r="B15" s="15">
        <v>10</v>
      </c>
      <c r="C15" s="16">
        <f>SUMPRODUCT(--(INDEX(Build_Schedule,,1)=10),(INDEX(Build_Schedule,,2)*1000*Inputs!C13)*(Inputs!C46*(1-Inputs!C81)^MAX(0,10-Inputs!C82))*(1-INDEX(Build_Schedule,,3)))</f>
        <v>0</v>
      </c>
      <c r="D15" s="16">
        <f>SUMPRODUCT(--(INDEX(Build_Schedule,,1)&lt;10),INDEX(Build_Schedule,,2)*1000*Inputs!C47)</f>
        <v>0</v>
      </c>
      <c r="E15" s="16">
        <f>SUMPRODUCT(--(INDEX(Build_Schedule,,1)&lt;10),INDEX(Build_Schedule,,2)*1000*Inputs!C13*Inputs!C44*365*Inputs!C40*(1-Inputs!C41)^(10-INDEX(Build_Schedule,,1))*Inputs!C51)</f>
        <v>0</v>
      </c>
      <c r="F15" s="16">
        <f>SUMPRODUCT(--(INDEX(Build_Schedule,,1)+Inputs!C43=10),INDEX(Build_Schedule,,2)*1000*Inputs!C13*Inputs!C49*(1-Inputs!C81)^MAX(0,Inputs!C43))</f>
        <v>0</v>
      </c>
      <c r="G15" s="16">
        <f>SUMPRODUCT(--(INDEX(Build_Schedule,,1)=10),INDEX(Build_Schedule,,2)*1000*(Inputs!C57+Inputs!C58+Inputs!C59))</f>
        <v>0</v>
      </c>
      <c r="H15" s="16">
        <f>SUM(C15:G15)</f>
        <v>0</v>
      </c>
      <c r="I15" s="16">
        <f>H15/(1+Inputs!C16)^10</f>
        <v>0</v>
      </c>
      <c r="J15" s="16">
        <f>SUMPRODUCT(--(INDEX(Build_Schedule,,1)&lt;10),INDEX(Build_Schedule,,2)*1000*(1-Inputs!C41)^(10-INDEX(Build_Schedule,,1)))*Inputs!C72*(1+Inputs!D72)^9/IFERROR(Inputs!C12*1000,1)+SUMPRODUCT(--(INDEX(Build_Schedule,,1)&lt;10),INDEX(Build_Schedule,,2)*1000*(1-Inputs!C41)^(10-INDEX(Build_Schedule,,1)))*Inputs!C73*(1+Inputs!D73)^9/IFERROR(Inputs!C12*1000,1)+SUMPRODUCT(--(INDEX(Build_Schedule,,1)&lt;10),INDEX(Build_Schedule,,2)*1000*(1-Inputs!C41)^(10-INDEX(Build_Schedule,,1)))*Inputs!C74*(1+Inputs!D74)^9/IFERROR(Inputs!C12*1000,1)+SUMPRODUCT(--(INDEX(Build_Schedule,,1)&lt;10),INDEX(Build_Schedule,,2)*1000*(1-Inputs!C41)^(10-INDEX(Build_Schedule,,1)))*Inputs!C75*(1+Inputs!D75)^9/IFERROR(Inputs!C12*1000,1)+SUMPRODUCT(--(INDEX(Build_Schedule,,1)&lt;10),INDEX(Build_Schedule,,2)*1000*(1-Inputs!C41)^(10-INDEX(Build_Schedule,,1)))*Inputs!C76*(1+Inputs!D76)^9/IFERROR(Inputs!C12*1000,1)+SUMPRODUCT(--(INDEX(Build_Schedule,,1)&lt;10),INDEX(Build_Schedule,,2)*1000*(1-Inputs!C41)^(10-INDEX(Build_Schedule,,1)))*Inputs!C77*(1+Inputs!D77)^9/IFERROR(Inputs!C12*1000,1)+SUMPRODUCT(--(INDEX(Build_Schedule,,1)&lt;10),INDEX(Build_Schedule,,2)*1000*(1-Inputs!C41)^(10-INDEX(Build_Schedule,,1)))*Inputs!C78*(1+Inputs!D78)^9/IFERROR(Inputs!C12*1000,1)+SUMPRODUCT(--(INDEX(Build_Schedule,,1)&lt;10),INDEX(Build_Schedule,,2)*1000*(1-Inputs!C41)^(10-INDEX(Build_Schedule,,1)))*Inputs!C79*(1+Inputs!D79)^9/IFERROR(Inputs!C12*1000,1)</f>
        <v>0</v>
      </c>
      <c r="K15" s="16">
        <f>J15/(1+Inputs!C16)^10</f>
        <v>0</v>
      </c>
      <c r="L15" s="16">
        <f>J15-H15</f>
        <v>0</v>
      </c>
      <c r="M15" s="16">
        <f>L15/(1+Inputs!C16)^10</f>
        <v>0</v>
      </c>
      <c r="N15" s="16">
        <f>N14+L15</f>
        <v>0</v>
      </c>
      <c r="O15" s="17">
        <f>SUMPRODUCT(--(INDEX(Build_Schedule,,1)&lt;10),INDEX(Build_Schedule,,2)*Inputs!C13*Inputs!C44*365*Inputs!C40*(1-Inputs!C41)^(10-INDEX(Build_Schedule,,1)))</f>
        <v>0</v>
      </c>
    </row>
    <row r="16" spans="2:15">
      <c r="B16" s="15">
        <v>11</v>
      </c>
      <c r="C16" s="16">
        <f>SUMPRODUCT(--(INDEX(Build_Schedule,,1)=11),(INDEX(Build_Schedule,,2)*1000*Inputs!C13)*(Inputs!C46*(1-Inputs!C81)^MAX(0,11-Inputs!C82))*(1-INDEX(Build_Schedule,,3)))</f>
        <v>0</v>
      </c>
      <c r="D16" s="16">
        <f>SUMPRODUCT(--(INDEX(Build_Schedule,,1)&lt;11),INDEX(Build_Schedule,,2)*1000*Inputs!C47)</f>
        <v>0</v>
      </c>
      <c r="E16" s="16">
        <f>SUMPRODUCT(--(INDEX(Build_Schedule,,1)&lt;11),INDEX(Build_Schedule,,2)*1000*Inputs!C13*Inputs!C44*365*Inputs!C40*(1-Inputs!C41)^(11-INDEX(Build_Schedule,,1))*Inputs!C51)</f>
        <v>0</v>
      </c>
      <c r="F16" s="16">
        <f>SUMPRODUCT(--(INDEX(Build_Schedule,,1)+Inputs!C43=11),INDEX(Build_Schedule,,2)*1000*Inputs!C13*Inputs!C49*(1-Inputs!C81)^MAX(0,Inputs!C43))</f>
        <v>0</v>
      </c>
      <c r="G16" s="16">
        <f>SUMPRODUCT(--(INDEX(Build_Schedule,,1)=11),INDEX(Build_Schedule,,2)*1000*(Inputs!C57+Inputs!C58+Inputs!C59))</f>
        <v>0</v>
      </c>
      <c r="H16" s="16">
        <f>SUM(C16:G16)</f>
        <v>0</v>
      </c>
      <c r="I16" s="16">
        <f>H16/(1+Inputs!C16)^11</f>
        <v>0</v>
      </c>
      <c r="J16" s="16">
        <f>SUMPRODUCT(--(INDEX(Build_Schedule,,1)&lt;11),INDEX(Build_Schedule,,2)*1000*(1-Inputs!C41)^(11-INDEX(Build_Schedule,,1)))*Inputs!C72*(1+Inputs!D72)^10/IFERROR(Inputs!C12*1000,1)+SUMPRODUCT(--(INDEX(Build_Schedule,,1)&lt;11),INDEX(Build_Schedule,,2)*1000*(1-Inputs!C41)^(11-INDEX(Build_Schedule,,1)))*Inputs!C73*(1+Inputs!D73)^10/IFERROR(Inputs!C12*1000,1)+SUMPRODUCT(--(INDEX(Build_Schedule,,1)&lt;11),INDEX(Build_Schedule,,2)*1000*(1-Inputs!C41)^(11-INDEX(Build_Schedule,,1)))*Inputs!C74*(1+Inputs!D74)^10/IFERROR(Inputs!C12*1000,1)+SUMPRODUCT(--(INDEX(Build_Schedule,,1)&lt;11),INDEX(Build_Schedule,,2)*1000*(1-Inputs!C41)^(11-INDEX(Build_Schedule,,1)))*Inputs!C75*(1+Inputs!D75)^10/IFERROR(Inputs!C12*1000,1)+SUMPRODUCT(--(INDEX(Build_Schedule,,1)&lt;11),INDEX(Build_Schedule,,2)*1000*(1-Inputs!C41)^(11-INDEX(Build_Schedule,,1)))*Inputs!C76*(1+Inputs!D76)^10/IFERROR(Inputs!C12*1000,1)+SUMPRODUCT(--(INDEX(Build_Schedule,,1)&lt;11),INDEX(Build_Schedule,,2)*1000*(1-Inputs!C41)^(11-INDEX(Build_Schedule,,1)))*Inputs!C77*(1+Inputs!D77)^10/IFERROR(Inputs!C12*1000,1)+SUMPRODUCT(--(INDEX(Build_Schedule,,1)&lt;11),INDEX(Build_Schedule,,2)*1000*(1-Inputs!C41)^(11-INDEX(Build_Schedule,,1)))*Inputs!C78*(1+Inputs!D78)^10/IFERROR(Inputs!C12*1000,1)+SUMPRODUCT(--(INDEX(Build_Schedule,,1)&lt;11),INDEX(Build_Schedule,,2)*1000*(1-Inputs!C41)^(11-INDEX(Build_Schedule,,1)))*Inputs!C79*(1+Inputs!D79)^10/IFERROR(Inputs!C12*1000,1)</f>
        <v>0</v>
      </c>
      <c r="K16" s="16">
        <f>J16/(1+Inputs!C16)^11</f>
        <v>0</v>
      </c>
      <c r="L16" s="16">
        <f>J16-H16</f>
        <v>0</v>
      </c>
      <c r="M16" s="16">
        <f>L16/(1+Inputs!C16)^11</f>
        <v>0</v>
      </c>
      <c r="N16" s="16">
        <f>N15+L16</f>
        <v>0</v>
      </c>
      <c r="O16" s="17">
        <f>SUMPRODUCT(--(INDEX(Build_Schedule,,1)&lt;11),INDEX(Build_Schedule,,2)*Inputs!C13*Inputs!C44*365*Inputs!C40*(1-Inputs!C41)^(11-INDEX(Build_Schedule,,1)))</f>
        <v>0</v>
      </c>
    </row>
    <row r="17" spans="2:15">
      <c r="B17" s="15">
        <v>12</v>
      </c>
      <c r="C17" s="16">
        <f>SUMPRODUCT(--(INDEX(Build_Schedule,,1)=12),(INDEX(Build_Schedule,,2)*1000*Inputs!C13)*(Inputs!C46*(1-Inputs!C81)^MAX(0,12-Inputs!C82))*(1-INDEX(Build_Schedule,,3)))</f>
        <v>0</v>
      </c>
      <c r="D17" s="16">
        <f>SUMPRODUCT(--(INDEX(Build_Schedule,,1)&lt;12),INDEX(Build_Schedule,,2)*1000*Inputs!C47)</f>
        <v>0</v>
      </c>
      <c r="E17" s="16">
        <f>SUMPRODUCT(--(INDEX(Build_Schedule,,1)&lt;12),INDEX(Build_Schedule,,2)*1000*Inputs!C13*Inputs!C44*365*Inputs!C40*(1-Inputs!C41)^(12-INDEX(Build_Schedule,,1))*Inputs!C51)</f>
        <v>0</v>
      </c>
      <c r="F17" s="16">
        <f>SUMPRODUCT(--(INDEX(Build_Schedule,,1)+Inputs!C43=12),INDEX(Build_Schedule,,2)*1000*Inputs!C13*Inputs!C49*(1-Inputs!C81)^MAX(0,Inputs!C43))</f>
        <v>0</v>
      </c>
      <c r="G17" s="16">
        <f>SUMPRODUCT(--(INDEX(Build_Schedule,,1)=12),INDEX(Build_Schedule,,2)*1000*(Inputs!C57+Inputs!C58+Inputs!C59))</f>
        <v>0</v>
      </c>
      <c r="H17" s="16">
        <f>SUM(C17:G17)</f>
        <v>0</v>
      </c>
      <c r="I17" s="16">
        <f>H17/(1+Inputs!C16)^12</f>
        <v>0</v>
      </c>
      <c r="J17" s="16">
        <f>SUMPRODUCT(--(INDEX(Build_Schedule,,1)&lt;12),INDEX(Build_Schedule,,2)*1000*(1-Inputs!C41)^(12-INDEX(Build_Schedule,,1)))*Inputs!C72*(1+Inputs!D72)^11/IFERROR(Inputs!C12*1000,1)+SUMPRODUCT(--(INDEX(Build_Schedule,,1)&lt;12),INDEX(Build_Schedule,,2)*1000*(1-Inputs!C41)^(12-INDEX(Build_Schedule,,1)))*Inputs!C73*(1+Inputs!D73)^11/IFERROR(Inputs!C12*1000,1)+SUMPRODUCT(--(INDEX(Build_Schedule,,1)&lt;12),INDEX(Build_Schedule,,2)*1000*(1-Inputs!C41)^(12-INDEX(Build_Schedule,,1)))*Inputs!C74*(1+Inputs!D74)^11/IFERROR(Inputs!C12*1000,1)+SUMPRODUCT(--(INDEX(Build_Schedule,,1)&lt;12),INDEX(Build_Schedule,,2)*1000*(1-Inputs!C41)^(12-INDEX(Build_Schedule,,1)))*Inputs!C75*(1+Inputs!D75)^11/IFERROR(Inputs!C12*1000,1)+SUMPRODUCT(--(INDEX(Build_Schedule,,1)&lt;12),INDEX(Build_Schedule,,2)*1000*(1-Inputs!C41)^(12-INDEX(Build_Schedule,,1)))*Inputs!C76*(1+Inputs!D76)^11/IFERROR(Inputs!C12*1000,1)+SUMPRODUCT(--(INDEX(Build_Schedule,,1)&lt;12),INDEX(Build_Schedule,,2)*1000*(1-Inputs!C41)^(12-INDEX(Build_Schedule,,1)))*Inputs!C77*(1+Inputs!D77)^11/IFERROR(Inputs!C12*1000,1)+SUMPRODUCT(--(INDEX(Build_Schedule,,1)&lt;12),INDEX(Build_Schedule,,2)*1000*(1-Inputs!C41)^(12-INDEX(Build_Schedule,,1)))*Inputs!C78*(1+Inputs!D78)^11/IFERROR(Inputs!C12*1000,1)+SUMPRODUCT(--(INDEX(Build_Schedule,,1)&lt;12),INDEX(Build_Schedule,,2)*1000*(1-Inputs!C41)^(12-INDEX(Build_Schedule,,1)))*Inputs!C79*(1+Inputs!D79)^11/IFERROR(Inputs!C12*1000,1)</f>
        <v>0</v>
      </c>
      <c r="K17" s="16">
        <f>J17/(1+Inputs!C16)^12</f>
        <v>0</v>
      </c>
      <c r="L17" s="16">
        <f>J17-H17</f>
        <v>0</v>
      </c>
      <c r="M17" s="16">
        <f>L17/(1+Inputs!C16)^12</f>
        <v>0</v>
      </c>
      <c r="N17" s="16">
        <f>N16+L17</f>
        <v>0</v>
      </c>
      <c r="O17" s="17">
        <f>SUMPRODUCT(--(INDEX(Build_Schedule,,1)&lt;12),INDEX(Build_Schedule,,2)*Inputs!C13*Inputs!C44*365*Inputs!C40*(1-Inputs!C41)^(12-INDEX(Build_Schedule,,1)))</f>
        <v>0</v>
      </c>
    </row>
    <row r="18" spans="2:15">
      <c r="B18" s="15">
        <v>13</v>
      </c>
      <c r="C18" s="16">
        <f>SUMPRODUCT(--(INDEX(Build_Schedule,,1)=13),(INDEX(Build_Schedule,,2)*1000*Inputs!C13)*(Inputs!C46*(1-Inputs!C81)^MAX(0,13-Inputs!C82))*(1-INDEX(Build_Schedule,,3)))</f>
        <v>0</v>
      </c>
      <c r="D18" s="16">
        <f>SUMPRODUCT(--(INDEX(Build_Schedule,,1)&lt;13),INDEX(Build_Schedule,,2)*1000*Inputs!C47)</f>
        <v>0</v>
      </c>
      <c r="E18" s="16">
        <f>SUMPRODUCT(--(INDEX(Build_Schedule,,1)&lt;13),INDEX(Build_Schedule,,2)*1000*Inputs!C13*Inputs!C44*365*Inputs!C40*(1-Inputs!C41)^(13-INDEX(Build_Schedule,,1))*Inputs!C51)</f>
        <v>0</v>
      </c>
      <c r="F18" s="16">
        <f>SUMPRODUCT(--(INDEX(Build_Schedule,,1)+Inputs!C43=13),INDEX(Build_Schedule,,2)*1000*Inputs!C13*Inputs!C49*(1-Inputs!C81)^MAX(0,Inputs!C43))</f>
        <v>0</v>
      </c>
      <c r="G18" s="16">
        <f>SUMPRODUCT(--(INDEX(Build_Schedule,,1)=13),INDEX(Build_Schedule,,2)*1000*(Inputs!C57+Inputs!C58+Inputs!C59))</f>
        <v>0</v>
      </c>
      <c r="H18" s="16">
        <f>SUM(C18:G18)</f>
        <v>0</v>
      </c>
      <c r="I18" s="16">
        <f>H18/(1+Inputs!C16)^13</f>
        <v>0</v>
      </c>
      <c r="J18" s="16">
        <f>SUMPRODUCT(--(INDEX(Build_Schedule,,1)&lt;13),INDEX(Build_Schedule,,2)*1000*(1-Inputs!C41)^(13-INDEX(Build_Schedule,,1)))*Inputs!C72*(1+Inputs!D72)^12/IFERROR(Inputs!C12*1000,1)+SUMPRODUCT(--(INDEX(Build_Schedule,,1)&lt;13),INDEX(Build_Schedule,,2)*1000*(1-Inputs!C41)^(13-INDEX(Build_Schedule,,1)))*Inputs!C73*(1+Inputs!D73)^12/IFERROR(Inputs!C12*1000,1)+SUMPRODUCT(--(INDEX(Build_Schedule,,1)&lt;13),INDEX(Build_Schedule,,2)*1000*(1-Inputs!C41)^(13-INDEX(Build_Schedule,,1)))*Inputs!C74*(1+Inputs!D74)^12/IFERROR(Inputs!C12*1000,1)+SUMPRODUCT(--(INDEX(Build_Schedule,,1)&lt;13),INDEX(Build_Schedule,,2)*1000*(1-Inputs!C41)^(13-INDEX(Build_Schedule,,1)))*Inputs!C75*(1+Inputs!D75)^12/IFERROR(Inputs!C12*1000,1)+SUMPRODUCT(--(INDEX(Build_Schedule,,1)&lt;13),INDEX(Build_Schedule,,2)*1000*(1-Inputs!C41)^(13-INDEX(Build_Schedule,,1)))*Inputs!C76*(1+Inputs!D76)^12/IFERROR(Inputs!C12*1000,1)+SUMPRODUCT(--(INDEX(Build_Schedule,,1)&lt;13),INDEX(Build_Schedule,,2)*1000*(1-Inputs!C41)^(13-INDEX(Build_Schedule,,1)))*Inputs!C77*(1+Inputs!D77)^12/IFERROR(Inputs!C12*1000,1)+SUMPRODUCT(--(INDEX(Build_Schedule,,1)&lt;13),INDEX(Build_Schedule,,2)*1000*(1-Inputs!C41)^(13-INDEX(Build_Schedule,,1)))*Inputs!C78*(1+Inputs!D78)^12/IFERROR(Inputs!C12*1000,1)+SUMPRODUCT(--(INDEX(Build_Schedule,,1)&lt;13),INDEX(Build_Schedule,,2)*1000*(1-Inputs!C41)^(13-INDEX(Build_Schedule,,1)))*Inputs!C79*(1+Inputs!D79)^12/IFERROR(Inputs!C12*1000,1)</f>
        <v>0</v>
      </c>
      <c r="K18" s="16">
        <f>J18/(1+Inputs!C16)^13</f>
        <v>0</v>
      </c>
      <c r="L18" s="16">
        <f>J18-H18</f>
        <v>0</v>
      </c>
      <c r="M18" s="16">
        <f>L18/(1+Inputs!C16)^13</f>
        <v>0</v>
      </c>
      <c r="N18" s="16">
        <f>N17+L18</f>
        <v>0</v>
      </c>
      <c r="O18" s="17">
        <f>SUMPRODUCT(--(INDEX(Build_Schedule,,1)&lt;13),INDEX(Build_Schedule,,2)*Inputs!C13*Inputs!C44*365*Inputs!C40*(1-Inputs!C41)^(13-INDEX(Build_Schedule,,1)))</f>
        <v>0</v>
      </c>
    </row>
    <row r="19" spans="2:15">
      <c r="B19" s="15">
        <v>14</v>
      </c>
      <c r="C19" s="16">
        <f>SUMPRODUCT(--(INDEX(Build_Schedule,,1)=14),(INDEX(Build_Schedule,,2)*1000*Inputs!C13)*(Inputs!C46*(1-Inputs!C81)^MAX(0,14-Inputs!C82))*(1-INDEX(Build_Schedule,,3)))</f>
        <v>0</v>
      </c>
      <c r="D19" s="16">
        <f>SUMPRODUCT(--(INDEX(Build_Schedule,,1)&lt;14),INDEX(Build_Schedule,,2)*1000*Inputs!C47)</f>
        <v>0</v>
      </c>
      <c r="E19" s="16">
        <f>SUMPRODUCT(--(INDEX(Build_Schedule,,1)&lt;14),INDEX(Build_Schedule,,2)*1000*Inputs!C13*Inputs!C44*365*Inputs!C40*(1-Inputs!C41)^(14-INDEX(Build_Schedule,,1))*Inputs!C51)</f>
        <v>0</v>
      </c>
      <c r="F19" s="16">
        <f>SUMPRODUCT(--(INDEX(Build_Schedule,,1)+Inputs!C43=14),INDEX(Build_Schedule,,2)*1000*Inputs!C13*Inputs!C49*(1-Inputs!C81)^MAX(0,Inputs!C43))</f>
        <v>0</v>
      </c>
      <c r="G19" s="16">
        <f>SUMPRODUCT(--(INDEX(Build_Schedule,,1)=14),INDEX(Build_Schedule,,2)*1000*(Inputs!C57+Inputs!C58+Inputs!C59))</f>
        <v>0</v>
      </c>
      <c r="H19" s="16">
        <f>SUM(C19:G19)</f>
        <v>0</v>
      </c>
      <c r="I19" s="16">
        <f>H19/(1+Inputs!C16)^14</f>
        <v>0</v>
      </c>
      <c r="J19" s="16">
        <f>SUMPRODUCT(--(INDEX(Build_Schedule,,1)&lt;14),INDEX(Build_Schedule,,2)*1000*(1-Inputs!C41)^(14-INDEX(Build_Schedule,,1)))*Inputs!C72*(1+Inputs!D72)^13/IFERROR(Inputs!C12*1000,1)+SUMPRODUCT(--(INDEX(Build_Schedule,,1)&lt;14),INDEX(Build_Schedule,,2)*1000*(1-Inputs!C41)^(14-INDEX(Build_Schedule,,1)))*Inputs!C73*(1+Inputs!D73)^13/IFERROR(Inputs!C12*1000,1)+SUMPRODUCT(--(INDEX(Build_Schedule,,1)&lt;14),INDEX(Build_Schedule,,2)*1000*(1-Inputs!C41)^(14-INDEX(Build_Schedule,,1)))*Inputs!C74*(1+Inputs!D74)^13/IFERROR(Inputs!C12*1000,1)+SUMPRODUCT(--(INDEX(Build_Schedule,,1)&lt;14),INDEX(Build_Schedule,,2)*1000*(1-Inputs!C41)^(14-INDEX(Build_Schedule,,1)))*Inputs!C75*(1+Inputs!D75)^13/IFERROR(Inputs!C12*1000,1)+SUMPRODUCT(--(INDEX(Build_Schedule,,1)&lt;14),INDEX(Build_Schedule,,2)*1000*(1-Inputs!C41)^(14-INDEX(Build_Schedule,,1)))*Inputs!C76*(1+Inputs!D76)^13/IFERROR(Inputs!C12*1000,1)+SUMPRODUCT(--(INDEX(Build_Schedule,,1)&lt;14),INDEX(Build_Schedule,,2)*1000*(1-Inputs!C41)^(14-INDEX(Build_Schedule,,1)))*Inputs!C77*(1+Inputs!D77)^13/IFERROR(Inputs!C12*1000,1)+SUMPRODUCT(--(INDEX(Build_Schedule,,1)&lt;14),INDEX(Build_Schedule,,2)*1000*(1-Inputs!C41)^(14-INDEX(Build_Schedule,,1)))*Inputs!C78*(1+Inputs!D78)^13/IFERROR(Inputs!C12*1000,1)+SUMPRODUCT(--(INDEX(Build_Schedule,,1)&lt;14),INDEX(Build_Schedule,,2)*1000*(1-Inputs!C41)^(14-INDEX(Build_Schedule,,1)))*Inputs!C79*(1+Inputs!D79)^13/IFERROR(Inputs!C12*1000,1)</f>
        <v>0</v>
      </c>
      <c r="K19" s="16">
        <f>J19/(1+Inputs!C16)^14</f>
        <v>0</v>
      </c>
      <c r="L19" s="16">
        <f>J19-H19</f>
        <v>0</v>
      </c>
      <c r="M19" s="16">
        <f>L19/(1+Inputs!C16)^14</f>
        <v>0</v>
      </c>
      <c r="N19" s="16">
        <f>N18+L19</f>
        <v>0</v>
      </c>
      <c r="O19" s="17">
        <f>SUMPRODUCT(--(INDEX(Build_Schedule,,1)&lt;14),INDEX(Build_Schedule,,2)*Inputs!C13*Inputs!C44*365*Inputs!C40*(1-Inputs!C41)^(14-INDEX(Build_Schedule,,1)))</f>
        <v>0</v>
      </c>
    </row>
    <row r="20" spans="2:15">
      <c r="B20" s="15">
        <v>15</v>
      </c>
      <c r="C20" s="16">
        <f>SUMPRODUCT(--(INDEX(Build_Schedule,,1)=15),(INDEX(Build_Schedule,,2)*1000*Inputs!C13)*(Inputs!C46*(1-Inputs!C81)^MAX(0,15-Inputs!C82))*(1-INDEX(Build_Schedule,,3)))</f>
        <v>0</v>
      </c>
      <c r="D20" s="16">
        <f>SUMPRODUCT(--(INDEX(Build_Schedule,,1)&lt;15),INDEX(Build_Schedule,,2)*1000*Inputs!C47)</f>
        <v>0</v>
      </c>
      <c r="E20" s="16">
        <f>SUMPRODUCT(--(INDEX(Build_Schedule,,1)&lt;15),INDEX(Build_Schedule,,2)*1000*Inputs!C13*Inputs!C44*365*Inputs!C40*(1-Inputs!C41)^(15-INDEX(Build_Schedule,,1))*Inputs!C51)</f>
        <v>0</v>
      </c>
      <c r="F20" s="16">
        <f>SUMPRODUCT(--(INDEX(Build_Schedule,,1)+Inputs!C43=15),INDEX(Build_Schedule,,2)*1000*Inputs!C13*Inputs!C49*(1-Inputs!C81)^MAX(0,Inputs!C43))</f>
        <v>0</v>
      </c>
      <c r="G20" s="16">
        <f>SUMPRODUCT(--(INDEX(Build_Schedule,,1)=15),INDEX(Build_Schedule,,2)*1000*(Inputs!C57+Inputs!C58+Inputs!C59))</f>
        <v>0</v>
      </c>
      <c r="H20" s="16">
        <f>SUM(C20:G20)</f>
        <v>0</v>
      </c>
      <c r="I20" s="16">
        <f>H20/(1+Inputs!C16)^15</f>
        <v>0</v>
      </c>
      <c r="J20" s="16">
        <f>SUMPRODUCT(--(INDEX(Build_Schedule,,1)&lt;15),INDEX(Build_Schedule,,2)*1000*(1-Inputs!C41)^(15-INDEX(Build_Schedule,,1)))*Inputs!C72*(1+Inputs!D72)^14/IFERROR(Inputs!C12*1000,1)+SUMPRODUCT(--(INDEX(Build_Schedule,,1)&lt;15),INDEX(Build_Schedule,,2)*1000*(1-Inputs!C41)^(15-INDEX(Build_Schedule,,1)))*Inputs!C73*(1+Inputs!D73)^14/IFERROR(Inputs!C12*1000,1)+SUMPRODUCT(--(INDEX(Build_Schedule,,1)&lt;15),INDEX(Build_Schedule,,2)*1000*(1-Inputs!C41)^(15-INDEX(Build_Schedule,,1)))*Inputs!C74*(1+Inputs!D74)^14/IFERROR(Inputs!C12*1000,1)+SUMPRODUCT(--(INDEX(Build_Schedule,,1)&lt;15),INDEX(Build_Schedule,,2)*1000*(1-Inputs!C41)^(15-INDEX(Build_Schedule,,1)))*Inputs!C75*(1+Inputs!D75)^14/IFERROR(Inputs!C12*1000,1)+SUMPRODUCT(--(INDEX(Build_Schedule,,1)&lt;15),INDEX(Build_Schedule,,2)*1000*(1-Inputs!C41)^(15-INDEX(Build_Schedule,,1)))*Inputs!C76*(1+Inputs!D76)^14/IFERROR(Inputs!C12*1000,1)+SUMPRODUCT(--(INDEX(Build_Schedule,,1)&lt;15),INDEX(Build_Schedule,,2)*1000*(1-Inputs!C41)^(15-INDEX(Build_Schedule,,1)))*Inputs!C77*(1+Inputs!D77)^14/IFERROR(Inputs!C12*1000,1)+SUMPRODUCT(--(INDEX(Build_Schedule,,1)&lt;15),INDEX(Build_Schedule,,2)*1000*(1-Inputs!C41)^(15-INDEX(Build_Schedule,,1)))*Inputs!C78*(1+Inputs!D78)^14/IFERROR(Inputs!C12*1000,1)+SUMPRODUCT(--(INDEX(Build_Schedule,,1)&lt;15),INDEX(Build_Schedule,,2)*1000*(1-Inputs!C41)^(15-INDEX(Build_Schedule,,1)))*Inputs!C79*(1+Inputs!D79)^14/IFERROR(Inputs!C12*1000,1)</f>
        <v>0</v>
      </c>
      <c r="K20" s="16">
        <f>J20/(1+Inputs!C16)^15</f>
        <v>0</v>
      </c>
      <c r="L20" s="16">
        <f>J20-H20</f>
        <v>0</v>
      </c>
      <c r="M20" s="16">
        <f>L20/(1+Inputs!C16)^15</f>
        <v>0</v>
      </c>
      <c r="N20" s="16">
        <f>N19+L20</f>
        <v>0</v>
      </c>
      <c r="O20" s="17">
        <f>SUMPRODUCT(--(INDEX(Build_Schedule,,1)&lt;15),INDEX(Build_Schedule,,2)*Inputs!C13*Inputs!C44*365*Inputs!C40*(1-Inputs!C41)^(15-INDEX(Build_Schedule,,1)))</f>
        <v>0</v>
      </c>
    </row>
    <row r="21" spans="2:15">
      <c r="B21" s="15">
        <v>16</v>
      </c>
      <c r="C21" s="16">
        <f>SUMPRODUCT(--(INDEX(Build_Schedule,,1)=16),(INDEX(Build_Schedule,,2)*1000*Inputs!C13)*(Inputs!C46*(1-Inputs!C81)^MAX(0,16-Inputs!C82))*(1-INDEX(Build_Schedule,,3)))</f>
        <v>0</v>
      </c>
      <c r="D21" s="16">
        <f>SUMPRODUCT(--(INDEX(Build_Schedule,,1)&lt;16),INDEX(Build_Schedule,,2)*1000*Inputs!C47)</f>
        <v>0</v>
      </c>
      <c r="E21" s="16">
        <f>SUMPRODUCT(--(INDEX(Build_Schedule,,1)&lt;16),INDEX(Build_Schedule,,2)*1000*Inputs!C13*Inputs!C44*365*Inputs!C40*(1-Inputs!C41)^(16-INDEX(Build_Schedule,,1))*Inputs!C51)</f>
        <v>0</v>
      </c>
      <c r="F21" s="16">
        <f>SUMPRODUCT(--(INDEX(Build_Schedule,,1)+Inputs!C43=16),INDEX(Build_Schedule,,2)*1000*Inputs!C13*Inputs!C49*(1-Inputs!C81)^MAX(0,Inputs!C43))</f>
        <v>0</v>
      </c>
      <c r="G21" s="16">
        <f>SUMPRODUCT(--(INDEX(Build_Schedule,,1)=16),INDEX(Build_Schedule,,2)*1000*(Inputs!C57+Inputs!C58+Inputs!C59))</f>
        <v>0</v>
      </c>
      <c r="H21" s="16">
        <f>SUM(C21:G21)</f>
        <v>0</v>
      </c>
      <c r="I21" s="16">
        <f>H21/(1+Inputs!C16)^16</f>
        <v>0</v>
      </c>
      <c r="J21" s="16">
        <f>SUMPRODUCT(--(INDEX(Build_Schedule,,1)&lt;16),INDEX(Build_Schedule,,2)*1000*(1-Inputs!C41)^(16-INDEX(Build_Schedule,,1)))*Inputs!C72*(1+Inputs!D72)^15/IFERROR(Inputs!C12*1000,1)+SUMPRODUCT(--(INDEX(Build_Schedule,,1)&lt;16),INDEX(Build_Schedule,,2)*1000*(1-Inputs!C41)^(16-INDEX(Build_Schedule,,1)))*Inputs!C73*(1+Inputs!D73)^15/IFERROR(Inputs!C12*1000,1)+SUMPRODUCT(--(INDEX(Build_Schedule,,1)&lt;16),INDEX(Build_Schedule,,2)*1000*(1-Inputs!C41)^(16-INDEX(Build_Schedule,,1)))*Inputs!C74*(1+Inputs!D74)^15/IFERROR(Inputs!C12*1000,1)+SUMPRODUCT(--(INDEX(Build_Schedule,,1)&lt;16),INDEX(Build_Schedule,,2)*1000*(1-Inputs!C41)^(16-INDEX(Build_Schedule,,1)))*Inputs!C75*(1+Inputs!D75)^15/IFERROR(Inputs!C12*1000,1)+SUMPRODUCT(--(INDEX(Build_Schedule,,1)&lt;16),INDEX(Build_Schedule,,2)*1000*(1-Inputs!C41)^(16-INDEX(Build_Schedule,,1)))*Inputs!C76*(1+Inputs!D76)^15/IFERROR(Inputs!C12*1000,1)+SUMPRODUCT(--(INDEX(Build_Schedule,,1)&lt;16),INDEX(Build_Schedule,,2)*1000*(1-Inputs!C41)^(16-INDEX(Build_Schedule,,1)))*Inputs!C77*(1+Inputs!D77)^15/IFERROR(Inputs!C12*1000,1)+SUMPRODUCT(--(INDEX(Build_Schedule,,1)&lt;16),INDEX(Build_Schedule,,2)*1000*(1-Inputs!C41)^(16-INDEX(Build_Schedule,,1)))*Inputs!C78*(1+Inputs!D78)^15/IFERROR(Inputs!C12*1000,1)+SUMPRODUCT(--(INDEX(Build_Schedule,,1)&lt;16),INDEX(Build_Schedule,,2)*1000*(1-Inputs!C41)^(16-INDEX(Build_Schedule,,1)))*Inputs!C79*(1+Inputs!D79)^15/IFERROR(Inputs!C12*1000,1)</f>
        <v>0</v>
      </c>
      <c r="K21" s="16">
        <f>J21/(1+Inputs!C16)^16</f>
        <v>0</v>
      </c>
      <c r="L21" s="16">
        <f>J21-H21</f>
        <v>0</v>
      </c>
      <c r="M21" s="16">
        <f>L21/(1+Inputs!C16)^16</f>
        <v>0</v>
      </c>
      <c r="N21" s="16">
        <f>N20+L21</f>
        <v>0</v>
      </c>
      <c r="O21" s="17">
        <f>SUMPRODUCT(--(INDEX(Build_Schedule,,1)&lt;16),INDEX(Build_Schedule,,2)*Inputs!C13*Inputs!C44*365*Inputs!C40*(1-Inputs!C41)^(16-INDEX(Build_Schedule,,1)))</f>
        <v>0</v>
      </c>
    </row>
    <row r="22" spans="2:15">
      <c r="B22" s="15">
        <v>17</v>
      </c>
      <c r="C22" s="16">
        <f>SUMPRODUCT(--(INDEX(Build_Schedule,,1)=17),(INDEX(Build_Schedule,,2)*1000*Inputs!C13)*(Inputs!C46*(1-Inputs!C81)^MAX(0,17-Inputs!C82))*(1-INDEX(Build_Schedule,,3)))</f>
        <v>0</v>
      </c>
      <c r="D22" s="16">
        <f>SUMPRODUCT(--(INDEX(Build_Schedule,,1)&lt;17),INDEX(Build_Schedule,,2)*1000*Inputs!C47)</f>
        <v>0</v>
      </c>
      <c r="E22" s="16">
        <f>SUMPRODUCT(--(INDEX(Build_Schedule,,1)&lt;17),INDEX(Build_Schedule,,2)*1000*Inputs!C13*Inputs!C44*365*Inputs!C40*(1-Inputs!C41)^(17-INDEX(Build_Schedule,,1))*Inputs!C51)</f>
        <v>0</v>
      </c>
      <c r="F22" s="16">
        <f>SUMPRODUCT(--(INDEX(Build_Schedule,,1)+Inputs!C43=17),INDEX(Build_Schedule,,2)*1000*Inputs!C13*Inputs!C49*(1-Inputs!C81)^MAX(0,Inputs!C43))</f>
        <v>0</v>
      </c>
      <c r="G22" s="16">
        <f>SUMPRODUCT(--(INDEX(Build_Schedule,,1)=17),INDEX(Build_Schedule,,2)*1000*(Inputs!C57+Inputs!C58+Inputs!C59))</f>
        <v>0</v>
      </c>
      <c r="H22" s="16">
        <f>SUM(C22:G22)</f>
        <v>0</v>
      </c>
      <c r="I22" s="16">
        <f>H22/(1+Inputs!C16)^17</f>
        <v>0</v>
      </c>
      <c r="J22" s="16">
        <f>SUMPRODUCT(--(INDEX(Build_Schedule,,1)&lt;17),INDEX(Build_Schedule,,2)*1000*(1-Inputs!C41)^(17-INDEX(Build_Schedule,,1)))*Inputs!C72*(1+Inputs!D72)^16/IFERROR(Inputs!C12*1000,1)+SUMPRODUCT(--(INDEX(Build_Schedule,,1)&lt;17),INDEX(Build_Schedule,,2)*1000*(1-Inputs!C41)^(17-INDEX(Build_Schedule,,1)))*Inputs!C73*(1+Inputs!D73)^16/IFERROR(Inputs!C12*1000,1)+SUMPRODUCT(--(INDEX(Build_Schedule,,1)&lt;17),INDEX(Build_Schedule,,2)*1000*(1-Inputs!C41)^(17-INDEX(Build_Schedule,,1)))*Inputs!C74*(1+Inputs!D74)^16/IFERROR(Inputs!C12*1000,1)+SUMPRODUCT(--(INDEX(Build_Schedule,,1)&lt;17),INDEX(Build_Schedule,,2)*1000*(1-Inputs!C41)^(17-INDEX(Build_Schedule,,1)))*Inputs!C75*(1+Inputs!D75)^16/IFERROR(Inputs!C12*1000,1)+SUMPRODUCT(--(INDEX(Build_Schedule,,1)&lt;17),INDEX(Build_Schedule,,2)*1000*(1-Inputs!C41)^(17-INDEX(Build_Schedule,,1)))*Inputs!C76*(1+Inputs!D76)^16/IFERROR(Inputs!C12*1000,1)+SUMPRODUCT(--(INDEX(Build_Schedule,,1)&lt;17),INDEX(Build_Schedule,,2)*1000*(1-Inputs!C41)^(17-INDEX(Build_Schedule,,1)))*Inputs!C77*(1+Inputs!D77)^16/IFERROR(Inputs!C12*1000,1)+SUMPRODUCT(--(INDEX(Build_Schedule,,1)&lt;17),INDEX(Build_Schedule,,2)*1000*(1-Inputs!C41)^(17-INDEX(Build_Schedule,,1)))*Inputs!C78*(1+Inputs!D78)^16/IFERROR(Inputs!C12*1000,1)+SUMPRODUCT(--(INDEX(Build_Schedule,,1)&lt;17),INDEX(Build_Schedule,,2)*1000*(1-Inputs!C41)^(17-INDEX(Build_Schedule,,1)))*Inputs!C79*(1+Inputs!D79)^16/IFERROR(Inputs!C12*1000,1)</f>
        <v>0</v>
      </c>
      <c r="K22" s="16">
        <f>J22/(1+Inputs!C16)^17</f>
        <v>0</v>
      </c>
      <c r="L22" s="16">
        <f>J22-H22</f>
        <v>0</v>
      </c>
      <c r="M22" s="16">
        <f>L22/(1+Inputs!C16)^17</f>
        <v>0</v>
      </c>
      <c r="N22" s="16">
        <f>N21+L22</f>
        <v>0</v>
      </c>
      <c r="O22" s="17">
        <f>SUMPRODUCT(--(INDEX(Build_Schedule,,1)&lt;17),INDEX(Build_Schedule,,2)*Inputs!C13*Inputs!C44*365*Inputs!C40*(1-Inputs!C41)^(17-INDEX(Build_Schedule,,1)))</f>
        <v>0</v>
      </c>
    </row>
    <row r="23" spans="2:15">
      <c r="B23" s="15">
        <v>18</v>
      </c>
      <c r="C23" s="16">
        <f>SUMPRODUCT(--(INDEX(Build_Schedule,,1)=18),(INDEX(Build_Schedule,,2)*1000*Inputs!C13)*(Inputs!C46*(1-Inputs!C81)^MAX(0,18-Inputs!C82))*(1-INDEX(Build_Schedule,,3)))</f>
        <v>0</v>
      </c>
      <c r="D23" s="16">
        <f>SUMPRODUCT(--(INDEX(Build_Schedule,,1)&lt;18),INDEX(Build_Schedule,,2)*1000*Inputs!C47)</f>
        <v>0</v>
      </c>
      <c r="E23" s="16">
        <f>SUMPRODUCT(--(INDEX(Build_Schedule,,1)&lt;18),INDEX(Build_Schedule,,2)*1000*Inputs!C13*Inputs!C44*365*Inputs!C40*(1-Inputs!C41)^(18-INDEX(Build_Schedule,,1))*Inputs!C51)</f>
        <v>0</v>
      </c>
      <c r="F23" s="16">
        <f>SUMPRODUCT(--(INDEX(Build_Schedule,,1)+Inputs!C43=18),INDEX(Build_Schedule,,2)*1000*Inputs!C13*Inputs!C49*(1-Inputs!C81)^MAX(0,Inputs!C43))</f>
        <v>0</v>
      </c>
      <c r="G23" s="16">
        <f>SUMPRODUCT(--(INDEX(Build_Schedule,,1)=18),INDEX(Build_Schedule,,2)*1000*(Inputs!C57+Inputs!C58+Inputs!C59))</f>
        <v>0</v>
      </c>
      <c r="H23" s="16">
        <f>SUM(C23:G23)</f>
        <v>0</v>
      </c>
      <c r="I23" s="16">
        <f>H23/(1+Inputs!C16)^18</f>
        <v>0</v>
      </c>
      <c r="J23" s="16">
        <f>SUMPRODUCT(--(INDEX(Build_Schedule,,1)&lt;18),INDEX(Build_Schedule,,2)*1000*(1-Inputs!C41)^(18-INDEX(Build_Schedule,,1)))*Inputs!C72*(1+Inputs!D72)^17/IFERROR(Inputs!C12*1000,1)+SUMPRODUCT(--(INDEX(Build_Schedule,,1)&lt;18),INDEX(Build_Schedule,,2)*1000*(1-Inputs!C41)^(18-INDEX(Build_Schedule,,1)))*Inputs!C73*(1+Inputs!D73)^17/IFERROR(Inputs!C12*1000,1)+SUMPRODUCT(--(INDEX(Build_Schedule,,1)&lt;18),INDEX(Build_Schedule,,2)*1000*(1-Inputs!C41)^(18-INDEX(Build_Schedule,,1)))*Inputs!C74*(1+Inputs!D74)^17/IFERROR(Inputs!C12*1000,1)+SUMPRODUCT(--(INDEX(Build_Schedule,,1)&lt;18),INDEX(Build_Schedule,,2)*1000*(1-Inputs!C41)^(18-INDEX(Build_Schedule,,1)))*Inputs!C75*(1+Inputs!D75)^17/IFERROR(Inputs!C12*1000,1)+SUMPRODUCT(--(INDEX(Build_Schedule,,1)&lt;18),INDEX(Build_Schedule,,2)*1000*(1-Inputs!C41)^(18-INDEX(Build_Schedule,,1)))*Inputs!C76*(1+Inputs!D76)^17/IFERROR(Inputs!C12*1000,1)+SUMPRODUCT(--(INDEX(Build_Schedule,,1)&lt;18),INDEX(Build_Schedule,,2)*1000*(1-Inputs!C41)^(18-INDEX(Build_Schedule,,1)))*Inputs!C77*(1+Inputs!D77)^17/IFERROR(Inputs!C12*1000,1)+SUMPRODUCT(--(INDEX(Build_Schedule,,1)&lt;18),INDEX(Build_Schedule,,2)*1000*(1-Inputs!C41)^(18-INDEX(Build_Schedule,,1)))*Inputs!C78*(1+Inputs!D78)^17/IFERROR(Inputs!C12*1000,1)+SUMPRODUCT(--(INDEX(Build_Schedule,,1)&lt;18),INDEX(Build_Schedule,,2)*1000*(1-Inputs!C41)^(18-INDEX(Build_Schedule,,1)))*Inputs!C79*(1+Inputs!D79)^17/IFERROR(Inputs!C12*1000,1)</f>
        <v>0</v>
      </c>
      <c r="K23" s="16">
        <f>J23/(1+Inputs!C16)^18</f>
        <v>0</v>
      </c>
      <c r="L23" s="16">
        <f>J23-H23</f>
        <v>0</v>
      </c>
      <c r="M23" s="16">
        <f>L23/(1+Inputs!C16)^18</f>
        <v>0</v>
      </c>
      <c r="N23" s="16">
        <f>N22+L23</f>
        <v>0</v>
      </c>
      <c r="O23" s="17">
        <f>SUMPRODUCT(--(INDEX(Build_Schedule,,1)&lt;18),INDEX(Build_Schedule,,2)*Inputs!C13*Inputs!C44*365*Inputs!C40*(1-Inputs!C41)^(18-INDEX(Build_Schedule,,1)))</f>
        <v>0</v>
      </c>
    </row>
    <row r="24" spans="2:15">
      <c r="B24" s="15">
        <v>19</v>
      </c>
      <c r="C24" s="16">
        <f>SUMPRODUCT(--(INDEX(Build_Schedule,,1)=19),(INDEX(Build_Schedule,,2)*1000*Inputs!C13)*(Inputs!C46*(1-Inputs!C81)^MAX(0,19-Inputs!C82))*(1-INDEX(Build_Schedule,,3)))</f>
        <v>0</v>
      </c>
      <c r="D24" s="16">
        <f>SUMPRODUCT(--(INDEX(Build_Schedule,,1)&lt;19),INDEX(Build_Schedule,,2)*1000*Inputs!C47)</f>
        <v>0</v>
      </c>
      <c r="E24" s="16">
        <f>SUMPRODUCT(--(INDEX(Build_Schedule,,1)&lt;19),INDEX(Build_Schedule,,2)*1000*Inputs!C13*Inputs!C44*365*Inputs!C40*(1-Inputs!C41)^(19-INDEX(Build_Schedule,,1))*Inputs!C51)</f>
        <v>0</v>
      </c>
      <c r="F24" s="16">
        <f>SUMPRODUCT(--(INDEX(Build_Schedule,,1)+Inputs!C43=19),INDEX(Build_Schedule,,2)*1000*Inputs!C13*Inputs!C49*(1-Inputs!C81)^MAX(0,Inputs!C43))</f>
        <v>0</v>
      </c>
      <c r="G24" s="16">
        <f>SUMPRODUCT(--(INDEX(Build_Schedule,,1)=19),INDEX(Build_Schedule,,2)*1000*(Inputs!C57+Inputs!C58+Inputs!C59))</f>
        <v>0</v>
      </c>
      <c r="H24" s="16">
        <f>SUM(C24:G24)</f>
        <v>0</v>
      </c>
      <c r="I24" s="16">
        <f>H24/(1+Inputs!C16)^19</f>
        <v>0</v>
      </c>
      <c r="J24" s="16">
        <f>SUMPRODUCT(--(INDEX(Build_Schedule,,1)&lt;19),INDEX(Build_Schedule,,2)*1000*(1-Inputs!C41)^(19-INDEX(Build_Schedule,,1)))*Inputs!C72*(1+Inputs!D72)^18/IFERROR(Inputs!C12*1000,1)+SUMPRODUCT(--(INDEX(Build_Schedule,,1)&lt;19),INDEX(Build_Schedule,,2)*1000*(1-Inputs!C41)^(19-INDEX(Build_Schedule,,1)))*Inputs!C73*(1+Inputs!D73)^18/IFERROR(Inputs!C12*1000,1)+SUMPRODUCT(--(INDEX(Build_Schedule,,1)&lt;19),INDEX(Build_Schedule,,2)*1000*(1-Inputs!C41)^(19-INDEX(Build_Schedule,,1)))*Inputs!C74*(1+Inputs!D74)^18/IFERROR(Inputs!C12*1000,1)+SUMPRODUCT(--(INDEX(Build_Schedule,,1)&lt;19),INDEX(Build_Schedule,,2)*1000*(1-Inputs!C41)^(19-INDEX(Build_Schedule,,1)))*Inputs!C75*(1+Inputs!D75)^18/IFERROR(Inputs!C12*1000,1)+SUMPRODUCT(--(INDEX(Build_Schedule,,1)&lt;19),INDEX(Build_Schedule,,2)*1000*(1-Inputs!C41)^(19-INDEX(Build_Schedule,,1)))*Inputs!C76*(1+Inputs!D76)^18/IFERROR(Inputs!C12*1000,1)+SUMPRODUCT(--(INDEX(Build_Schedule,,1)&lt;19),INDEX(Build_Schedule,,2)*1000*(1-Inputs!C41)^(19-INDEX(Build_Schedule,,1)))*Inputs!C77*(1+Inputs!D77)^18/IFERROR(Inputs!C12*1000,1)+SUMPRODUCT(--(INDEX(Build_Schedule,,1)&lt;19),INDEX(Build_Schedule,,2)*1000*(1-Inputs!C41)^(19-INDEX(Build_Schedule,,1)))*Inputs!C78*(1+Inputs!D78)^18/IFERROR(Inputs!C12*1000,1)+SUMPRODUCT(--(INDEX(Build_Schedule,,1)&lt;19),INDEX(Build_Schedule,,2)*1000*(1-Inputs!C41)^(19-INDEX(Build_Schedule,,1)))*Inputs!C79*(1+Inputs!D79)^18/IFERROR(Inputs!C12*1000,1)</f>
        <v>0</v>
      </c>
      <c r="K24" s="16">
        <f>J24/(1+Inputs!C16)^19</f>
        <v>0</v>
      </c>
      <c r="L24" s="16">
        <f>J24-H24</f>
        <v>0</v>
      </c>
      <c r="M24" s="16">
        <f>L24/(1+Inputs!C16)^19</f>
        <v>0</v>
      </c>
      <c r="N24" s="16">
        <f>N23+L24</f>
        <v>0</v>
      </c>
      <c r="O24" s="17">
        <f>SUMPRODUCT(--(INDEX(Build_Schedule,,1)&lt;19),INDEX(Build_Schedule,,2)*Inputs!C13*Inputs!C44*365*Inputs!C40*(1-Inputs!C41)^(19-INDEX(Build_Schedule,,1)))</f>
        <v>0</v>
      </c>
    </row>
    <row r="25" spans="2:15">
      <c r="B25" s="15">
        <v>20</v>
      </c>
      <c r="C25" s="16">
        <f>SUMPRODUCT(--(INDEX(Build_Schedule,,1)=20),(INDEX(Build_Schedule,,2)*1000*Inputs!C13)*(Inputs!C46*(1-Inputs!C81)^MAX(0,20-Inputs!C82))*(1-INDEX(Build_Schedule,,3)))</f>
        <v>0</v>
      </c>
      <c r="D25" s="16">
        <f>SUMPRODUCT(--(INDEX(Build_Schedule,,1)&lt;20),INDEX(Build_Schedule,,2)*1000*Inputs!C47)</f>
        <v>0</v>
      </c>
      <c r="E25" s="16">
        <f>SUMPRODUCT(--(INDEX(Build_Schedule,,1)&lt;20),INDEX(Build_Schedule,,2)*1000*Inputs!C13*Inputs!C44*365*Inputs!C40*(1-Inputs!C41)^(20-INDEX(Build_Schedule,,1))*Inputs!C51)</f>
        <v>0</v>
      </c>
      <c r="F25" s="16">
        <f>SUMPRODUCT(--(INDEX(Build_Schedule,,1)+Inputs!C43=20),INDEX(Build_Schedule,,2)*1000*Inputs!C13*Inputs!C49*(1-Inputs!C81)^MAX(0,Inputs!C43))</f>
        <v>0</v>
      </c>
      <c r="G25" s="16">
        <f>SUMPRODUCT(--(INDEX(Build_Schedule,,1)=20),INDEX(Build_Schedule,,2)*1000*(Inputs!C57+Inputs!C58+Inputs!C59))</f>
        <v>0</v>
      </c>
      <c r="H25" s="16">
        <f>SUM(C25:G25)</f>
        <v>0</v>
      </c>
      <c r="I25" s="16">
        <f>H25/(1+Inputs!C16)^20</f>
        <v>0</v>
      </c>
      <c r="J25" s="16">
        <f>SUMPRODUCT(--(INDEX(Build_Schedule,,1)&lt;20),INDEX(Build_Schedule,,2)*1000*(1-Inputs!C41)^(20-INDEX(Build_Schedule,,1)))*Inputs!C72*(1+Inputs!D72)^19/IFERROR(Inputs!C12*1000,1)+SUMPRODUCT(--(INDEX(Build_Schedule,,1)&lt;20),INDEX(Build_Schedule,,2)*1000*(1-Inputs!C41)^(20-INDEX(Build_Schedule,,1)))*Inputs!C73*(1+Inputs!D73)^19/IFERROR(Inputs!C12*1000,1)+SUMPRODUCT(--(INDEX(Build_Schedule,,1)&lt;20),INDEX(Build_Schedule,,2)*1000*(1-Inputs!C41)^(20-INDEX(Build_Schedule,,1)))*Inputs!C74*(1+Inputs!D74)^19/IFERROR(Inputs!C12*1000,1)+SUMPRODUCT(--(INDEX(Build_Schedule,,1)&lt;20),INDEX(Build_Schedule,,2)*1000*(1-Inputs!C41)^(20-INDEX(Build_Schedule,,1)))*Inputs!C75*(1+Inputs!D75)^19/IFERROR(Inputs!C12*1000,1)+SUMPRODUCT(--(INDEX(Build_Schedule,,1)&lt;20),INDEX(Build_Schedule,,2)*1000*(1-Inputs!C41)^(20-INDEX(Build_Schedule,,1)))*Inputs!C76*(1+Inputs!D76)^19/IFERROR(Inputs!C12*1000,1)+SUMPRODUCT(--(INDEX(Build_Schedule,,1)&lt;20),INDEX(Build_Schedule,,2)*1000*(1-Inputs!C41)^(20-INDEX(Build_Schedule,,1)))*Inputs!C77*(1+Inputs!D77)^19/IFERROR(Inputs!C12*1000,1)+SUMPRODUCT(--(INDEX(Build_Schedule,,1)&lt;20),INDEX(Build_Schedule,,2)*1000*(1-Inputs!C41)^(20-INDEX(Build_Schedule,,1)))*Inputs!C78*(1+Inputs!D78)^19/IFERROR(Inputs!C12*1000,1)+SUMPRODUCT(--(INDEX(Build_Schedule,,1)&lt;20),INDEX(Build_Schedule,,2)*1000*(1-Inputs!C41)^(20-INDEX(Build_Schedule,,1)))*Inputs!C79*(1+Inputs!D79)^19/IFERROR(Inputs!C12*1000,1)</f>
        <v>0</v>
      </c>
      <c r="K25" s="16">
        <f>J25/(1+Inputs!C16)^20</f>
        <v>0</v>
      </c>
      <c r="L25" s="16">
        <f>J25-H25</f>
        <v>0</v>
      </c>
      <c r="M25" s="16">
        <f>L25/(1+Inputs!C16)^20</f>
        <v>0</v>
      </c>
      <c r="N25" s="16">
        <f>N24+L25</f>
        <v>0</v>
      </c>
      <c r="O25" s="17">
        <f>SUMPRODUCT(--(INDEX(Build_Schedule,,1)&lt;20),INDEX(Build_Schedule,,2)*Inputs!C13*Inputs!C44*365*Inputs!C40*(1-Inputs!C41)^(20-INDEX(Build_Schedule,,1)))</f>
        <v>0</v>
      </c>
    </row>
    <row r="26" spans="2:15">
      <c r="B26" s="3" t="s">
        <v>182</v>
      </c>
      <c r="I26" s="14">
        <f>SUM(I5:I25)</f>
        <v>0</v>
      </c>
      <c r="K26" s="14">
        <f>SUM(K5:K25)</f>
        <v>0</v>
      </c>
      <c r="M26" s="14">
        <f>SUM(M5:M25)</f>
        <v>0</v>
      </c>
      <c r="O26" s="14">
        <f>SUM(O5:O25)</f>
        <v>0</v>
      </c>
    </row>
  </sheetData>
  <mergeCells count="1">
    <mergeCell ref="B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E25"/>
  <sheetViews>
    <sheetView workbookViewId="0"/>
  </sheetViews>
  <sheetFormatPr defaultRowHeight="15"/>
  <cols>
    <col min="1" max="1" width="3.7109375" customWidth="1"/>
    <col min="2" max="2" width="32.7109375" customWidth="1"/>
    <col min="3" max="3" width="22.7109375" customWidth="1"/>
    <col min="4" max="4" width="14.7109375" customWidth="1"/>
    <col min="5" max="5" width="40.7109375" customWidth="1"/>
  </cols>
  <sheetData>
    <row r="2" spans="2:5">
      <c r="B2" s="1" t="s">
        <v>183</v>
      </c>
      <c r="C2" s="1"/>
      <c r="D2" s="1"/>
      <c r="E2" s="1"/>
    </row>
    <row r="3" spans="2:5">
      <c r="B3" s="2" t="s">
        <v>184</v>
      </c>
      <c r="C3" s="2"/>
      <c r="D3" s="2"/>
      <c r="E3" s="2"/>
    </row>
    <row r="5" spans="2:5">
      <c r="B5" s="6" t="s">
        <v>185</v>
      </c>
      <c r="C5" s="6"/>
      <c r="D5" s="6"/>
      <c r="E5" s="6"/>
    </row>
    <row r="6" spans="2:5">
      <c r="B6" s="11" t="s">
        <v>186</v>
      </c>
      <c r="C6" s="11" t="s">
        <v>187</v>
      </c>
      <c r="D6" s="11" t="s">
        <v>188</v>
      </c>
      <c r="E6" s="11" t="s">
        <v>189</v>
      </c>
    </row>
    <row r="7" spans="2:5">
      <c r="B7" s="3" t="s">
        <v>190</v>
      </c>
      <c r="C7" s="18">
        <f>SUM(Cash_Flows!M5:Cash_Flows!M25)+Inputs!C36</f>
        <v>0</v>
      </c>
      <c r="D7" s="15" t="s">
        <v>191</v>
      </c>
      <c r="E7" s="5" t="s">
        <v>192</v>
      </c>
    </row>
    <row r="8" spans="2:5">
      <c r="B8" s="3" t="s">
        <v>193</v>
      </c>
      <c r="C8" s="18">
        <f>Inputs!C36</f>
        <v>0</v>
      </c>
      <c r="D8" s="15" t="s">
        <v>194</v>
      </c>
      <c r="E8" s="5" t="s">
        <v>195</v>
      </c>
    </row>
    <row r="9" spans="2:5">
      <c r="B9" s="3" t="s">
        <v>196</v>
      </c>
      <c r="C9" s="18">
        <f>SUM(Cash_Flows!M5:Cash_Flows!M25)+Inputs!C36</f>
        <v>0</v>
      </c>
      <c r="D9" s="15" t="s">
        <v>191</v>
      </c>
      <c r="E9" s="5" t="s">
        <v>197</v>
      </c>
    </row>
    <row r="10" spans="2:5">
      <c r="B10" s="3" t="s">
        <v>198</v>
      </c>
      <c r="C10" s="19">
        <f>IFERROR(SUM(Cash_Flows!K5:Cash_Flows!K25)/SUM(Cash_Flows!I5:Cash_Flows!I25),0)</f>
        <v>0</v>
      </c>
      <c r="D10" s="15" t="s">
        <v>199</v>
      </c>
      <c r="E10" s="5" t="s">
        <v>200</v>
      </c>
    </row>
    <row r="11" spans="2:5">
      <c r="B11" s="3" t="s">
        <v>201</v>
      </c>
      <c r="C11" s="20">
        <f>IFERROR(IRR(Cash_Flows!L5:Cash_Flows!L25),"N/A")</f>
        <v>0</v>
      </c>
      <c r="D11" s="15" t="s">
        <v>202</v>
      </c>
      <c r="E11" s="5" t="s">
        <v>203</v>
      </c>
    </row>
    <row r="12" spans="2:5">
      <c r="B12" s="3" t="s">
        <v>204</v>
      </c>
      <c r="C12" s="19">
        <f>IFERROR(MATCH(TRUE,Cash_Flows!N5:Cash_Flows!N25&gt;0,0)-1,"Never")</f>
        <v>0</v>
      </c>
      <c r="D12" s="15" t="s">
        <v>205</v>
      </c>
      <c r="E12" s="5" t="s">
        <v>206</v>
      </c>
    </row>
    <row r="13" spans="2:5">
      <c r="B13" s="3" t="s">
        <v>207</v>
      </c>
      <c r="C13" s="19">
        <f>IFERROR(SUM(Cash_Flows!I5:Cash_Flows!I25)/SUM(Cash_Flows!O5:Cash_Flows!O25),0)</f>
        <v>0</v>
      </c>
      <c r="D13" s="15" t="s">
        <v>208</v>
      </c>
      <c r="E13" s="5" t="s">
        <v>209</v>
      </c>
    </row>
    <row r="14" spans="2:5">
      <c r="B14" s="3" t="s">
        <v>210</v>
      </c>
      <c r="C14" s="19">
        <f>IFERROR((SUM(Cash_Flows!K5:Cash_Flows!K25)-(SUM(Cash_Flows!I5:Cash_Flows!I25)-Cash_Flows!I5))/(Inputs!C12*Inputs!C13*1000),0)</f>
        <v>0</v>
      </c>
      <c r="D14" s="15" t="s">
        <v>211</v>
      </c>
      <c r="E14" s="5" t="s">
        <v>212</v>
      </c>
    </row>
    <row r="16" spans="2:5">
      <c r="B16" s="6" t="s">
        <v>213</v>
      </c>
      <c r="C16" s="6"/>
      <c r="D16" s="6"/>
      <c r="E16" s="6"/>
    </row>
    <row r="17" spans="2:3">
      <c r="B17" s="3" t="s">
        <v>8</v>
      </c>
      <c r="C17" s="8">
        <f>Inputs!C9</f>
        <v>0</v>
      </c>
    </row>
    <row r="18" spans="2:3">
      <c r="B18" s="3" t="s">
        <v>33</v>
      </c>
      <c r="C18" s="8">
        <f>Inputs!C12</f>
        <v>0</v>
      </c>
    </row>
    <row r="19" spans="2:3">
      <c r="B19" s="3" t="s">
        <v>214</v>
      </c>
      <c r="C19" s="8">
        <f>Inputs!C13</f>
        <v>0</v>
      </c>
    </row>
    <row r="20" spans="2:3">
      <c r="B20" s="3" t="s">
        <v>215</v>
      </c>
      <c r="C20" s="8">
        <f>Inputs!C15&amp;" years"</f>
        <v>0</v>
      </c>
    </row>
    <row r="21" spans="2:3">
      <c r="B21" s="3" t="s">
        <v>216</v>
      </c>
      <c r="C21" s="8">
        <f>Inputs!C16</f>
        <v>0</v>
      </c>
    </row>
    <row r="22" spans="2:3">
      <c r="B22" s="3" t="s">
        <v>217</v>
      </c>
      <c r="C22" s="8">
        <f>Inputs!C68</f>
        <v>0</v>
      </c>
    </row>
    <row r="23" spans="2:3">
      <c r="B23" s="3" t="s">
        <v>27</v>
      </c>
      <c r="C23" s="8">
        <f>Inputs!C17</f>
        <v>0</v>
      </c>
    </row>
    <row r="24" spans="2:3">
      <c r="B24" s="3" t="s">
        <v>71</v>
      </c>
      <c r="C24" s="8">
        <f>Inputs!C46</f>
        <v>0</v>
      </c>
    </row>
    <row r="25" spans="2:3">
      <c r="B25" s="3" t="s">
        <v>218</v>
      </c>
      <c r="C25" s="8">
        <f>Inputs!C54+Inputs!C55</f>
        <v>0</v>
      </c>
    </row>
  </sheetData>
  <mergeCells count="4">
    <mergeCell ref="B2:E2"/>
    <mergeCell ref="B3:E3"/>
    <mergeCell ref="B5:E5"/>
    <mergeCell ref="B16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H30"/>
  <sheetViews>
    <sheetView workbookViewId="0"/>
  </sheetViews>
  <sheetFormatPr defaultRowHeight="15"/>
  <cols>
    <col min="1" max="1" width="3.7109375" customWidth="1"/>
    <col min="2" max="2" width="30.7109375" customWidth="1"/>
    <col min="3" max="7" width="16.7109375" customWidth="1"/>
    <col min="8" max="8" width="36.7109375" customWidth="1"/>
  </cols>
  <sheetData>
    <row r="2" spans="2:8">
      <c r="B2" s="1" t="s">
        <v>219</v>
      </c>
      <c r="C2" s="1"/>
      <c r="D2" s="1"/>
      <c r="E2" s="1"/>
      <c r="F2" s="1"/>
      <c r="G2" s="1"/>
      <c r="H2" s="1"/>
    </row>
    <row r="3" spans="2:8">
      <c r="B3" s="2" t="s">
        <v>220</v>
      </c>
      <c r="C3" s="2"/>
      <c r="D3" s="2"/>
      <c r="E3" s="2"/>
      <c r="F3" s="2"/>
      <c r="G3" s="2"/>
      <c r="H3" s="2"/>
    </row>
    <row r="5" spans="2:8">
      <c r="B5" s="6" t="s">
        <v>221</v>
      </c>
      <c r="C5" s="6"/>
      <c r="D5" s="6"/>
      <c r="E5" s="6"/>
      <c r="F5" s="6"/>
      <c r="G5" s="6"/>
      <c r="H5" s="6"/>
    </row>
    <row r="6" spans="2:8">
      <c r="B6" s="11" t="s">
        <v>222</v>
      </c>
      <c r="C6" s="11" t="s">
        <v>223</v>
      </c>
      <c r="D6" s="11" t="s">
        <v>224</v>
      </c>
      <c r="E6" s="11" t="s">
        <v>225</v>
      </c>
      <c r="F6" s="11" t="s">
        <v>226</v>
      </c>
      <c r="G6" s="11" t="s">
        <v>227</v>
      </c>
      <c r="H6" s="11" t="s">
        <v>228</v>
      </c>
    </row>
    <row r="7" spans="2:8">
      <c r="B7" s="3" t="s">
        <v>71</v>
      </c>
      <c r="C7" s="5" t="s">
        <v>229</v>
      </c>
      <c r="D7" s="8">
        <f>Inputs!C46</f>
        <v>0</v>
      </c>
      <c r="E7" s="5" t="s">
        <v>230</v>
      </c>
      <c r="F7" s="5" t="s">
        <v>231</v>
      </c>
      <c r="G7" s="14">
        <f>SUM(Cash_Flows!M5:Cash_Flows!M25)+Inputs!C36</f>
        <v>0</v>
      </c>
      <c r="H7" s="5" t="s">
        <v>231</v>
      </c>
    </row>
    <row r="8" spans="2:8">
      <c r="B8" s="3" t="s">
        <v>216</v>
      </c>
      <c r="C8" s="5" t="s">
        <v>232</v>
      </c>
      <c r="D8" s="8">
        <f>Inputs!C16</f>
        <v>0</v>
      </c>
      <c r="E8" s="5" t="s">
        <v>233</v>
      </c>
      <c r="F8" s="5" t="s">
        <v>231</v>
      </c>
      <c r="G8" s="14">
        <f>SUM(Cash_Flows!M5:Cash_Flows!M25)+Inputs!C36</f>
        <v>0</v>
      </c>
      <c r="H8" s="5" t="s">
        <v>231</v>
      </c>
    </row>
    <row r="9" spans="2:8">
      <c r="B9" s="3" t="s">
        <v>234</v>
      </c>
      <c r="C9" s="5" t="s">
        <v>235</v>
      </c>
      <c r="D9" s="8">
        <f>Inputs!C72</f>
        <v>0</v>
      </c>
      <c r="E9" s="5" t="s">
        <v>236</v>
      </c>
      <c r="F9" s="5" t="s">
        <v>231</v>
      </c>
      <c r="G9" s="14">
        <f>SUM(Cash_Flows!M5:Cash_Flows!M25)+Inputs!C36</f>
        <v>0</v>
      </c>
      <c r="H9" s="5" t="s">
        <v>231</v>
      </c>
    </row>
    <row r="10" spans="2:8">
      <c r="B10" s="3" t="s">
        <v>237</v>
      </c>
      <c r="C10" s="5" t="s">
        <v>238</v>
      </c>
      <c r="D10" s="8">
        <f>Inputs!C81</f>
        <v>0</v>
      </c>
      <c r="E10" s="5" t="s">
        <v>239</v>
      </c>
      <c r="F10" s="5" t="s">
        <v>231</v>
      </c>
      <c r="G10" s="14">
        <f>SUM(Cash_Flows!M5:Cash_Flows!M25)+Inputs!C36</f>
        <v>0</v>
      </c>
      <c r="H10" s="5" t="s">
        <v>231</v>
      </c>
    </row>
    <row r="11" spans="2:8">
      <c r="B11" s="3" t="s">
        <v>240</v>
      </c>
      <c r="C11" s="5" t="s">
        <v>241</v>
      </c>
      <c r="D11" s="8">
        <f>Inputs!C40</f>
        <v>0</v>
      </c>
      <c r="E11" s="5" t="s">
        <v>242</v>
      </c>
      <c r="F11" s="5" t="s">
        <v>231</v>
      </c>
      <c r="G11" s="14">
        <f>SUM(Cash_Flows!M5:Cash_Flows!M25)+Inputs!C36</f>
        <v>0</v>
      </c>
      <c r="H11" s="5" t="s">
        <v>231</v>
      </c>
    </row>
    <row r="12" spans="2:8">
      <c r="B12" s="3" t="s">
        <v>243</v>
      </c>
      <c r="C12" s="5" t="s">
        <v>244</v>
      </c>
      <c r="D12" s="8">
        <f>Inputs!C15</f>
        <v>0</v>
      </c>
      <c r="E12" s="5" t="s">
        <v>245</v>
      </c>
      <c r="F12" s="5" t="s">
        <v>231</v>
      </c>
      <c r="G12" s="14">
        <f>SUM(Cash_Flows!M5:Cash_Flows!M25)+Inputs!C36</f>
        <v>0</v>
      </c>
      <c r="H12" s="5" t="s">
        <v>231</v>
      </c>
    </row>
    <row r="13" spans="2:8">
      <c r="B13" s="3" t="s">
        <v>218</v>
      </c>
      <c r="C13" s="5" t="s">
        <v>246</v>
      </c>
      <c r="D13" s="8">
        <f>Inputs!C54</f>
        <v>0</v>
      </c>
      <c r="E13" s="5" t="s">
        <v>247</v>
      </c>
      <c r="F13" s="5" t="s">
        <v>231</v>
      </c>
      <c r="G13" s="14">
        <f>SUM(Cash_Flows!M5:Cash_Flows!M25)+Inputs!C36</f>
        <v>0</v>
      </c>
      <c r="H13" s="5" t="s">
        <v>231</v>
      </c>
    </row>
    <row r="14" spans="2:8">
      <c r="B14" s="3" t="s">
        <v>248</v>
      </c>
      <c r="C14" s="5" t="s">
        <v>249</v>
      </c>
      <c r="D14" s="8">
        <f>Inputs!C47</f>
        <v>0</v>
      </c>
      <c r="E14" s="5" t="s">
        <v>250</v>
      </c>
      <c r="F14" s="5" t="s">
        <v>231</v>
      </c>
      <c r="G14" s="14">
        <f>SUM(Cash_Flows!M5:Cash_Flows!M25)+Inputs!C36</f>
        <v>0</v>
      </c>
      <c r="H14" s="5" t="s">
        <v>231</v>
      </c>
    </row>
    <row r="16" spans="2:8">
      <c r="B16" s="6" t="s">
        <v>251</v>
      </c>
      <c r="C16" s="6"/>
      <c r="D16" s="6"/>
      <c r="E16" s="6"/>
      <c r="F16" s="6"/>
      <c r="G16" s="6"/>
      <c r="H16" s="6"/>
    </row>
    <row r="17" spans="2:8">
      <c r="B17" s="5" t="s">
        <v>252</v>
      </c>
    </row>
    <row r="18" spans="2:8">
      <c r="B18" s="5" t="s">
        <v>253</v>
      </c>
    </row>
    <row r="19" spans="2:8">
      <c r="B19" s="5" t="s">
        <v>254</v>
      </c>
    </row>
    <row r="20" spans="2:8">
      <c r="B20" s="5" t="s">
        <v>255</v>
      </c>
    </row>
    <row r="21" spans="2:8">
      <c r="B21" s="5" t="s">
        <v>256</v>
      </c>
    </row>
    <row r="23" spans="2:8">
      <c r="B23" s="6" t="s">
        <v>257</v>
      </c>
      <c r="C23" s="6"/>
      <c r="D23" s="6"/>
      <c r="E23" s="6"/>
      <c r="F23" s="6"/>
      <c r="G23" s="6"/>
      <c r="H23" s="6"/>
    </row>
    <row r="24" spans="2:8">
      <c r="B24" s="11" t="s">
        <v>222</v>
      </c>
      <c r="C24" s="11" t="s">
        <v>258</v>
      </c>
      <c r="D24" s="11" t="s">
        <v>259</v>
      </c>
      <c r="E24" s="11" t="s">
        <v>260</v>
      </c>
      <c r="F24" s="11" t="s">
        <v>119</v>
      </c>
    </row>
    <row r="25" spans="2:8">
      <c r="B25" s="3" t="s">
        <v>71</v>
      </c>
      <c r="C25" s="15" t="s">
        <v>261</v>
      </c>
      <c r="D25" s="8" t="s">
        <v>262</v>
      </c>
      <c r="E25" s="15" t="s">
        <v>263</v>
      </c>
      <c r="F25" s="5" t="s">
        <v>264</v>
      </c>
    </row>
    <row r="26" spans="2:8">
      <c r="B26" s="3" t="s">
        <v>216</v>
      </c>
      <c r="C26" s="15" t="s">
        <v>265</v>
      </c>
      <c r="D26" s="8" t="s">
        <v>266</v>
      </c>
      <c r="E26" s="15" t="s">
        <v>267</v>
      </c>
      <c r="F26" s="5" t="s">
        <v>268</v>
      </c>
    </row>
    <row r="27" spans="2:8">
      <c r="B27" s="3" t="s">
        <v>120</v>
      </c>
      <c r="C27" s="15" t="s">
        <v>269</v>
      </c>
      <c r="D27" s="8" t="s">
        <v>270</v>
      </c>
      <c r="E27" s="15" t="s">
        <v>271</v>
      </c>
      <c r="F27" s="5" t="s">
        <v>272</v>
      </c>
    </row>
    <row r="28" spans="2:8">
      <c r="B28" s="3" t="s">
        <v>237</v>
      </c>
      <c r="C28" s="15" t="s">
        <v>273</v>
      </c>
      <c r="D28" s="8" t="s">
        <v>274</v>
      </c>
      <c r="E28" s="15" t="s">
        <v>275</v>
      </c>
      <c r="F28" s="5" t="s">
        <v>276</v>
      </c>
    </row>
    <row r="29" spans="2:8">
      <c r="B29" s="3" t="s">
        <v>277</v>
      </c>
      <c r="C29" s="15" t="s">
        <v>278</v>
      </c>
      <c r="D29" s="8" t="s">
        <v>279</v>
      </c>
      <c r="E29" s="15" t="s">
        <v>280</v>
      </c>
      <c r="F29" s="5" t="s">
        <v>281</v>
      </c>
    </row>
    <row r="30" spans="2:8">
      <c r="B30" s="3" t="s">
        <v>243</v>
      </c>
      <c r="C30" s="15" t="s">
        <v>282</v>
      </c>
      <c r="D30" s="8" t="s">
        <v>283</v>
      </c>
      <c r="E30" s="15" t="s">
        <v>284</v>
      </c>
      <c r="F30" s="5" t="s">
        <v>285</v>
      </c>
    </row>
  </sheetData>
  <mergeCells count="5">
    <mergeCell ref="B2:H2"/>
    <mergeCell ref="B3:H3"/>
    <mergeCell ref="B5:H5"/>
    <mergeCell ref="B16:H16"/>
    <mergeCell ref="B23:H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61"/>
  <sheetViews>
    <sheetView workbookViewId="0"/>
  </sheetViews>
  <sheetFormatPr defaultRowHeight="15"/>
  <cols>
    <col min="1" max="1" width="3.7109375" customWidth="1"/>
    <col min="2" max="2" width="34.7109375" customWidth="1"/>
    <col min="3" max="4" width="18.7109375" customWidth="1"/>
    <col min="5" max="5" width="40.7109375" customWidth="1"/>
  </cols>
  <sheetData>
    <row r="2" spans="2:5">
      <c r="B2" s="1" t="s">
        <v>286</v>
      </c>
      <c r="C2" s="1"/>
      <c r="D2" s="1"/>
      <c r="E2" s="1"/>
    </row>
    <row r="3" spans="2:5">
      <c r="B3" s="2" t="s">
        <v>287</v>
      </c>
      <c r="C3" s="2"/>
      <c r="D3" s="2"/>
      <c r="E3" s="2"/>
    </row>
    <row r="5" spans="2:5">
      <c r="B5" s="6" t="s">
        <v>288</v>
      </c>
      <c r="C5" s="6"/>
      <c r="D5" s="6"/>
      <c r="E5" s="6"/>
    </row>
    <row r="6" spans="2:5">
      <c r="B6" s="11" t="s">
        <v>222</v>
      </c>
      <c r="C6" s="11" t="s">
        <v>187</v>
      </c>
      <c r="D6" s="11" t="s">
        <v>289</v>
      </c>
      <c r="E6" s="11" t="s">
        <v>290</v>
      </c>
    </row>
    <row r="7" spans="2:5">
      <c r="B7" s="3" t="s">
        <v>291</v>
      </c>
      <c r="C7" s="10">
        <v>0.1003</v>
      </c>
      <c r="D7" s="15" t="s">
        <v>292</v>
      </c>
      <c r="E7" s="5" t="s">
        <v>311</v>
      </c>
    </row>
    <row r="8" spans="2:5">
      <c r="B8" s="3" t="s">
        <v>293</v>
      </c>
      <c r="C8" s="10">
        <v>0.0471</v>
      </c>
      <c r="D8" s="15" t="s">
        <v>294</v>
      </c>
    </row>
    <row r="9" spans="2:5">
      <c r="B9" s="3" t="s">
        <v>295</v>
      </c>
      <c r="C9" s="10">
        <v>0.0548</v>
      </c>
      <c r="D9" s="15" t="s">
        <v>296</v>
      </c>
    </row>
    <row r="10" spans="2:5">
      <c r="B10" s="3" t="s">
        <v>297</v>
      </c>
      <c r="C10" s="10">
        <v>0.52</v>
      </c>
      <c r="D10" s="15" t="s">
        <v>298</v>
      </c>
    </row>
    <row r="11" spans="2:5">
      <c r="B11" s="3" t="s">
        <v>299</v>
      </c>
      <c r="C11" s="10">
        <v>0.4347</v>
      </c>
      <c r="D11" s="15" t="s">
        <v>300</v>
      </c>
    </row>
    <row r="12" spans="2:5">
      <c r="B12" s="3" t="s">
        <v>301</v>
      </c>
      <c r="C12" s="10">
        <v>0.0453</v>
      </c>
      <c r="D12" s="15" t="s">
        <v>302</v>
      </c>
    </row>
    <row r="13" spans="2:5">
      <c r="B13" s="3" t="s">
        <v>303</v>
      </c>
      <c r="C13" s="10">
        <v>0.0759</v>
      </c>
      <c r="D13" s="15" t="s">
        <v>304</v>
      </c>
      <c r="E13" s="5" t="s">
        <v>312</v>
      </c>
    </row>
    <row r="14" spans="2:5">
      <c r="B14" s="3" t="s">
        <v>305</v>
      </c>
      <c r="C14" s="10">
        <v>0.21</v>
      </c>
      <c r="D14" s="15" t="s">
        <v>306</v>
      </c>
    </row>
    <row r="15" spans="2:5">
      <c r="B15" s="3" t="s">
        <v>307</v>
      </c>
      <c r="C15" s="10">
        <v>0.08840000000000001</v>
      </c>
      <c r="D15" s="15" t="s">
        <v>308</v>
      </c>
    </row>
    <row r="16" spans="2:5">
      <c r="B16" s="3" t="s">
        <v>309</v>
      </c>
      <c r="C16" s="10">
        <v>0.01</v>
      </c>
      <c r="D16" s="15" t="s">
        <v>310</v>
      </c>
    </row>
    <row r="18" spans="2:12">
      <c r="B18" s="6" t="s">
        <v>313</v>
      </c>
      <c r="C18" s="6"/>
      <c r="D18" s="6"/>
      <c r="E18" s="6"/>
    </row>
    <row r="19" spans="2:12">
      <c r="B19" s="11" t="s">
        <v>222</v>
      </c>
      <c r="C19" s="11" t="s">
        <v>187</v>
      </c>
      <c r="E19" s="11" t="s">
        <v>290</v>
      </c>
    </row>
    <row r="20" spans="2:12">
      <c r="B20" s="3" t="s">
        <v>314</v>
      </c>
      <c r="C20" s="4">
        <v>20</v>
      </c>
      <c r="E20" s="5" t="s">
        <v>315</v>
      </c>
    </row>
    <row r="21" spans="2:12">
      <c r="B21" s="3" t="s">
        <v>316</v>
      </c>
      <c r="C21" s="4">
        <v>7</v>
      </c>
      <c r="E21" s="5" t="s">
        <v>317</v>
      </c>
    </row>
    <row r="22" spans="2:12">
      <c r="B22" s="3" t="s">
        <v>318</v>
      </c>
      <c r="C22" s="4">
        <v>0</v>
      </c>
      <c r="E22" s="5" t="s">
        <v>319</v>
      </c>
    </row>
    <row r="23" spans="2:12">
      <c r="B23" s="3" t="s">
        <v>320</v>
      </c>
      <c r="C23" s="14">
        <f>Inputs!C12*Inputs!C13*1000*Inputs!C46+Inputs!C12*1000*(Inputs!C57+Inputs!C58+Inputs!C59)</f>
        <v>0</v>
      </c>
      <c r="E23" s="5" t="s">
        <v>321</v>
      </c>
    </row>
    <row r="24" spans="2:12">
      <c r="B24" s="3" t="s">
        <v>322</v>
      </c>
      <c r="C24" s="14">
        <f>Inputs!C12*Inputs!C13*1000*Inputs!C46*(Inputs!C54+Inputs!C55)</f>
        <v>0</v>
      </c>
      <c r="E24" s="5" t="s">
        <v>323</v>
      </c>
    </row>
    <row r="25" spans="2:12">
      <c r="B25" s="3" t="s">
        <v>324</v>
      </c>
      <c r="C25" s="14">
        <f>Inputs!C12*1000*Inputs!C47</f>
        <v>0</v>
      </c>
      <c r="E25" s="5" t="s">
        <v>325</v>
      </c>
    </row>
    <row r="28" spans="2:12">
      <c r="B28" s="6" t="s">
        <v>326</v>
      </c>
      <c r="C28" s="6"/>
      <c r="D28" s="6"/>
      <c r="E28" s="6"/>
    </row>
    <row r="29" spans="2:12" ht="28" customHeight="1">
      <c r="B29" s="11" t="s">
        <v>168</v>
      </c>
      <c r="C29" s="11" t="s">
        <v>327</v>
      </c>
      <c r="D29" s="11" t="s">
        <v>328</v>
      </c>
      <c r="E29" s="11" t="s">
        <v>329</v>
      </c>
      <c r="F29" s="11" t="s">
        <v>330</v>
      </c>
      <c r="G29" s="11" t="s">
        <v>331</v>
      </c>
      <c r="H29" s="11" t="s">
        <v>332</v>
      </c>
      <c r="I29" s="11" t="s">
        <v>333</v>
      </c>
      <c r="J29" s="11" t="s">
        <v>334</v>
      </c>
      <c r="K29" s="11" t="s">
        <v>335</v>
      </c>
      <c r="L29" s="11" t="s">
        <v>336</v>
      </c>
    </row>
    <row r="30" spans="2:12">
      <c r="B30" s="15">
        <v>1</v>
      </c>
      <c r="C30" s="15" t="s">
        <v>194</v>
      </c>
      <c r="D30" s="15" t="s">
        <v>194</v>
      </c>
      <c r="E30" s="15" t="s">
        <v>194</v>
      </c>
      <c r="F30" s="15" t="s">
        <v>194</v>
      </c>
      <c r="G30" s="15" t="s">
        <v>194</v>
      </c>
      <c r="H30" s="15" t="s">
        <v>194</v>
      </c>
      <c r="I30" s="15" t="s">
        <v>194</v>
      </c>
      <c r="J30" s="15" t="s">
        <v>194</v>
      </c>
      <c r="K30" s="15" t="s">
        <v>194</v>
      </c>
      <c r="L30" s="15" t="s">
        <v>194</v>
      </c>
    </row>
    <row r="31" spans="2:12">
      <c r="B31" s="15">
        <v>2</v>
      </c>
      <c r="C31" s="15" t="s">
        <v>194</v>
      </c>
      <c r="D31" s="15" t="s">
        <v>194</v>
      </c>
      <c r="E31" s="15" t="s">
        <v>194</v>
      </c>
      <c r="F31" s="15" t="s">
        <v>194</v>
      </c>
      <c r="G31" s="15" t="s">
        <v>194</v>
      </c>
      <c r="H31" s="15" t="s">
        <v>194</v>
      </c>
      <c r="I31" s="15" t="s">
        <v>194</v>
      </c>
      <c r="J31" s="15" t="s">
        <v>194</v>
      </c>
      <c r="K31" s="15" t="s">
        <v>194</v>
      </c>
      <c r="L31" s="15" t="s">
        <v>194</v>
      </c>
    </row>
    <row r="32" spans="2:12">
      <c r="B32" s="15">
        <v>3</v>
      </c>
      <c r="C32" s="15" t="s">
        <v>194</v>
      </c>
      <c r="D32" s="15" t="s">
        <v>194</v>
      </c>
      <c r="E32" s="15" t="s">
        <v>194</v>
      </c>
      <c r="F32" s="15" t="s">
        <v>194</v>
      </c>
      <c r="G32" s="15" t="s">
        <v>194</v>
      </c>
      <c r="H32" s="15" t="s">
        <v>194</v>
      </c>
      <c r="I32" s="15" t="s">
        <v>194</v>
      </c>
      <c r="J32" s="15" t="s">
        <v>194</v>
      </c>
      <c r="K32" s="15" t="s">
        <v>194</v>
      </c>
      <c r="L32" s="15" t="s">
        <v>194</v>
      </c>
    </row>
    <row r="33" spans="2:12">
      <c r="B33" s="15">
        <v>4</v>
      </c>
      <c r="C33" s="15" t="s">
        <v>194</v>
      </c>
      <c r="D33" s="15" t="s">
        <v>194</v>
      </c>
      <c r="E33" s="15" t="s">
        <v>194</v>
      </c>
      <c r="F33" s="15" t="s">
        <v>194</v>
      </c>
      <c r="G33" s="15" t="s">
        <v>194</v>
      </c>
      <c r="H33" s="15" t="s">
        <v>194</v>
      </c>
      <c r="I33" s="15" t="s">
        <v>194</v>
      </c>
      <c r="J33" s="15" t="s">
        <v>194</v>
      </c>
      <c r="K33" s="15" t="s">
        <v>194</v>
      </c>
      <c r="L33" s="15" t="s">
        <v>194</v>
      </c>
    </row>
    <row r="34" spans="2:12">
      <c r="B34" s="15">
        <v>5</v>
      </c>
      <c r="C34" s="15" t="s">
        <v>194</v>
      </c>
      <c r="D34" s="15" t="s">
        <v>194</v>
      </c>
      <c r="E34" s="15" t="s">
        <v>194</v>
      </c>
      <c r="F34" s="15" t="s">
        <v>194</v>
      </c>
      <c r="G34" s="15" t="s">
        <v>194</v>
      </c>
      <c r="H34" s="15" t="s">
        <v>194</v>
      </c>
      <c r="I34" s="15" t="s">
        <v>194</v>
      </c>
      <c r="J34" s="15" t="s">
        <v>194</v>
      </c>
      <c r="K34" s="15" t="s">
        <v>194</v>
      </c>
      <c r="L34" s="15" t="s">
        <v>194</v>
      </c>
    </row>
    <row r="35" spans="2:12">
      <c r="B35" s="15">
        <v>6</v>
      </c>
      <c r="C35" s="15" t="s">
        <v>194</v>
      </c>
      <c r="D35" s="15" t="s">
        <v>194</v>
      </c>
      <c r="E35" s="15" t="s">
        <v>194</v>
      </c>
      <c r="F35" s="15" t="s">
        <v>194</v>
      </c>
      <c r="G35" s="15" t="s">
        <v>194</v>
      </c>
      <c r="H35" s="15" t="s">
        <v>194</v>
      </c>
      <c r="I35" s="15" t="s">
        <v>194</v>
      </c>
      <c r="J35" s="15" t="s">
        <v>194</v>
      </c>
      <c r="K35" s="15" t="s">
        <v>194</v>
      </c>
      <c r="L35" s="15" t="s">
        <v>194</v>
      </c>
    </row>
    <row r="36" spans="2:12">
      <c r="B36" s="15">
        <v>7</v>
      </c>
      <c r="C36" s="15" t="s">
        <v>194</v>
      </c>
      <c r="D36" s="15" t="s">
        <v>194</v>
      </c>
      <c r="E36" s="15" t="s">
        <v>194</v>
      </c>
      <c r="F36" s="15" t="s">
        <v>194</v>
      </c>
      <c r="G36" s="15" t="s">
        <v>194</v>
      </c>
      <c r="H36" s="15" t="s">
        <v>194</v>
      </c>
      <c r="I36" s="15" t="s">
        <v>194</v>
      </c>
      <c r="J36" s="15" t="s">
        <v>194</v>
      </c>
      <c r="K36" s="15" t="s">
        <v>194</v>
      </c>
      <c r="L36" s="15" t="s">
        <v>194</v>
      </c>
    </row>
    <row r="37" spans="2:12">
      <c r="B37" s="15">
        <v>8</v>
      </c>
      <c r="C37" s="15" t="s">
        <v>194</v>
      </c>
      <c r="D37" s="15" t="s">
        <v>194</v>
      </c>
      <c r="E37" s="15" t="s">
        <v>194</v>
      </c>
      <c r="F37" s="15" t="s">
        <v>194</v>
      </c>
      <c r="G37" s="15" t="s">
        <v>194</v>
      </c>
      <c r="H37" s="15" t="s">
        <v>194</v>
      </c>
      <c r="I37" s="15" t="s">
        <v>194</v>
      </c>
      <c r="J37" s="15" t="s">
        <v>194</v>
      </c>
      <c r="K37" s="15" t="s">
        <v>194</v>
      </c>
      <c r="L37" s="15" t="s">
        <v>194</v>
      </c>
    </row>
    <row r="38" spans="2:12">
      <c r="B38" s="15">
        <v>9</v>
      </c>
      <c r="C38" s="15" t="s">
        <v>194</v>
      </c>
      <c r="D38" s="15" t="s">
        <v>194</v>
      </c>
      <c r="E38" s="15" t="s">
        <v>194</v>
      </c>
      <c r="F38" s="15" t="s">
        <v>194</v>
      </c>
      <c r="G38" s="15" t="s">
        <v>194</v>
      </c>
      <c r="H38" s="15" t="s">
        <v>194</v>
      </c>
      <c r="I38" s="15" t="s">
        <v>194</v>
      </c>
      <c r="J38" s="15" t="s">
        <v>194</v>
      </c>
      <c r="K38" s="15" t="s">
        <v>194</v>
      </c>
      <c r="L38" s="15" t="s">
        <v>194</v>
      </c>
    </row>
    <row r="39" spans="2:12">
      <c r="B39" s="15">
        <v>10</v>
      </c>
      <c r="C39" s="15" t="s">
        <v>194</v>
      </c>
      <c r="D39" s="15" t="s">
        <v>194</v>
      </c>
      <c r="E39" s="15" t="s">
        <v>194</v>
      </c>
      <c r="F39" s="15" t="s">
        <v>194</v>
      </c>
      <c r="G39" s="15" t="s">
        <v>194</v>
      </c>
      <c r="H39" s="15" t="s">
        <v>194</v>
      </c>
      <c r="I39" s="15" t="s">
        <v>194</v>
      </c>
      <c r="J39" s="15" t="s">
        <v>194</v>
      </c>
      <c r="K39" s="15" t="s">
        <v>194</v>
      </c>
      <c r="L39" s="15" t="s">
        <v>194</v>
      </c>
    </row>
    <row r="40" spans="2:12">
      <c r="B40" s="15">
        <v>11</v>
      </c>
      <c r="C40" s="15" t="s">
        <v>194</v>
      </c>
      <c r="D40" s="15" t="s">
        <v>194</v>
      </c>
      <c r="E40" s="15" t="s">
        <v>194</v>
      </c>
      <c r="F40" s="15" t="s">
        <v>194</v>
      </c>
      <c r="G40" s="15" t="s">
        <v>194</v>
      </c>
      <c r="H40" s="15" t="s">
        <v>194</v>
      </c>
      <c r="I40" s="15" t="s">
        <v>194</v>
      </c>
      <c r="J40" s="15" t="s">
        <v>194</v>
      </c>
      <c r="K40" s="15" t="s">
        <v>194</v>
      </c>
      <c r="L40" s="15" t="s">
        <v>194</v>
      </c>
    </row>
    <row r="41" spans="2:12">
      <c r="B41" s="15">
        <v>12</v>
      </c>
      <c r="C41" s="15" t="s">
        <v>194</v>
      </c>
      <c r="D41" s="15" t="s">
        <v>194</v>
      </c>
      <c r="E41" s="15" t="s">
        <v>194</v>
      </c>
      <c r="F41" s="15" t="s">
        <v>194</v>
      </c>
      <c r="G41" s="15" t="s">
        <v>194</v>
      </c>
      <c r="H41" s="15" t="s">
        <v>194</v>
      </c>
      <c r="I41" s="15" t="s">
        <v>194</v>
      </c>
      <c r="J41" s="15" t="s">
        <v>194</v>
      </c>
      <c r="K41" s="15" t="s">
        <v>194</v>
      </c>
      <c r="L41" s="15" t="s">
        <v>194</v>
      </c>
    </row>
    <row r="42" spans="2:12">
      <c r="B42" s="15">
        <v>13</v>
      </c>
      <c r="C42" s="15" t="s">
        <v>194</v>
      </c>
      <c r="D42" s="15" t="s">
        <v>194</v>
      </c>
      <c r="E42" s="15" t="s">
        <v>194</v>
      </c>
      <c r="F42" s="15" t="s">
        <v>194</v>
      </c>
      <c r="G42" s="15" t="s">
        <v>194</v>
      </c>
      <c r="H42" s="15" t="s">
        <v>194</v>
      </c>
      <c r="I42" s="15" t="s">
        <v>194</v>
      </c>
      <c r="J42" s="15" t="s">
        <v>194</v>
      </c>
      <c r="K42" s="15" t="s">
        <v>194</v>
      </c>
      <c r="L42" s="15" t="s">
        <v>194</v>
      </c>
    </row>
    <row r="43" spans="2:12">
      <c r="B43" s="15">
        <v>14</v>
      </c>
      <c r="C43" s="15" t="s">
        <v>194</v>
      </c>
      <c r="D43" s="15" t="s">
        <v>194</v>
      </c>
      <c r="E43" s="15" t="s">
        <v>194</v>
      </c>
      <c r="F43" s="15" t="s">
        <v>194</v>
      </c>
      <c r="G43" s="15" t="s">
        <v>194</v>
      </c>
      <c r="H43" s="15" t="s">
        <v>194</v>
      </c>
      <c r="I43" s="15" t="s">
        <v>194</v>
      </c>
      <c r="J43" s="15" t="s">
        <v>194</v>
      </c>
      <c r="K43" s="15" t="s">
        <v>194</v>
      </c>
      <c r="L43" s="15" t="s">
        <v>194</v>
      </c>
    </row>
    <row r="44" spans="2:12">
      <c r="B44" s="15">
        <v>15</v>
      </c>
      <c r="C44" s="15" t="s">
        <v>194</v>
      </c>
      <c r="D44" s="15" t="s">
        <v>194</v>
      </c>
      <c r="E44" s="15" t="s">
        <v>194</v>
      </c>
      <c r="F44" s="15" t="s">
        <v>194</v>
      </c>
      <c r="G44" s="15" t="s">
        <v>194</v>
      </c>
      <c r="H44" s="15" t="s">
        <v>194</v>
      </c>
      <c r="I44" s="15" t="s">
        <v>194</v>
      </c>
      <c r="J44" s="15" t="s">
        <v>194</v>
      </c>
      <c r="K44" s="15" t="s">
        <v>194</v>
      </c>
      <c r="L44" s="15" t="s">
        <v>194</v>
      </c>
    </row>
    <row r="45" spans="2:12">
      <c r="B45" s="15">
        <v>16</v>
      </c>
      <c r="C45" s="15" t="s">
        <v>194</v>
      </c>
      <c r="D45" s="15" t="s">
        <v>194</v>
      </c>
      <c r="E45" s="15" t="s">
        <v>194</v>
      </c>
      <c r="F45" s="15" t="s">
        <v>194</v>
      </c>
      <c r="G45" s="15" t="s">
        <v>194</v>
      </c>
      <c r="H45" s="15" t="s">
        <v>194</v>
      </c>
      <c r="I45" s="15" t="s">
        <v>194</v>
      </c>
      <c r="J45" s="15" t="s">
        <v>194</v>
      </c>
      <c r="K45" s="15" t="s">
        <v>194</v>
      </c>
      <c r="L45" s="15" t="s">
        <v>194</v>
      </c>
    </row>
    <row r="46" spans="2:12">
      <c r="B46" s="15">
        <v>17</v>
      </c>
      <c r="C46" s="15" t="s">
        <v>194</v>
      </c>
      <c r="D46" s="15" t="s">
        <v>194</v>
      </c>
      <c r="E46" s="15" t="s">
        <v>194</v>
      </c>
      <c r="F46" s="15" t="s">
        <v>194</v>
      </c>
      <c r="G46" s="15" t="s">
        <v>194</v>
      </c>
      <c r="H46" s="15" t="s">
        <v>194</v>
      </c>
      <c r="I46" s="15" t="s">
        <v>194</v>
      </c>
      <c r="J46" s="15" t="s">
        <v>194</v>
      </c>
      <c r="K46" s="15" t="s">
        <v>194</v>
      </c>
      <c r="L46" s="15" t="s">
        <v>194</v>
      </c>
    </row>
    <row r="47" spans="2:12">
      <c r="B47" s="15">
        <v>18</v>
      </c>
      <c r="C47" s="15" t="s">
        <v>194</v>
      </c>
      <c r="D47" s="15" t="s">
        <v>194</v>
      </c>
      <c r="E47" s="15" t="s">
        <v>194</v>
      </c>
      <c r="F47" s="15" t="s">
        <v>194</v>
      </c>
      <c r="G47" s="15" t="s">
        <v>194</v>
      </c>
      <c r="H47" s="15" t="s">
        <v>194</v>
      </c>
      <c r="I47" s="15" t="s">
        <v>194</v>
      </c>
      <c r="J47" s="15" t="s">
        <v>194</v>
      </c>
      <c r="K47" s="15" t="s">
        <v>194</v>
      </c>
      <c r="L47" s="15" t="s">
        <v>194</v>
      </c>
    </row>
    <row r="48" spans="2:12">
      <c r="B48" s="15">
        <v>19</v>
      </c>
      <c r="C48" s="15" t="s">
        <v>194</v>
      </c>
      <c r="D48" s="15" t="s">
        <v>194</v>
      </c>
      <c r="E48" s="15" t="s">
        <v>194</v>
      </c>
      <c r="F48" s="15" t="s">
        <v>194</v>
      </c>
      <c r="G48" s="15" t="s">
        <v>194</v>
      </c>
      <c r="H48" s="15" t="s">
        <v>194</v>
      </c>
      <c r="I48" s="15" t="s">
        <v>194</v>
      </c>
      <c r="J48" s="15" t="s">
        <v>194</v>
      </c>
      <c r="K48" s="15" t="s">
        <v>194</v>
      </c>
      <c r="L48" s="15" t="s">
        <v>194</v>
      </c>
    </row>
    <row r="49" spans="2:12">
      <c r="B49" s="15">
        <v>20</v>
      </c>
      <c r="C49" s="15" t="s">
        <v>194</v>
      </c>
      <c r="D49" s="15" t="s">
        <v>194</v>
      </c>
      <c r="E49" s="15" t="s">
        <v>194</v>
      </c>
      <c r="F49" s="15" t="s">
        <v>194</v>
      </c>
      <c r="G49" s="15" t="s">
        <v>194</v>
      </c>
      <c r="H49" s="15" t="s">
        <v>194</v>
      </c>
      <c r="I49" s="15" t="s">
        <v>194</v>
      </c>
      <c r="J49" s="15" t="s">
        <v>194</v>
      </c>
      <c r="K49" s="15" t="s">
        <v>194</v>
      </c>
      <c r="L49" s="15" t="s">
        <v>194</v>
      </c>
    </row>
    <row r="50" spans="2:12">
      <c r="B50" s="6" t="s">
        <v>337</v>
      </c>
      <c r="C50" s="6"/>
      <c r="D50" s="6"/>
      <c r="E50" s="6"/>
    </row>
    <row r="51" spans="2:12">
      <c r="B51" s="3" t="s">
        <v>338</v>
      </c>
      <c r="C51" s="13">
        <v>500</v>
      </c>
      <c r="E51" s="5" t="s">
        <v>339</v>
      </c>
    </row>
    <row r="52" spans="2:12">
      <c r="B52" s="3" t="s">
        <v>340</v>
      </c>
      <c r="C52" s="9">
        <v>40</v>
      </c>
    </row>
    <row r="53" spans="2:12">
      <c r="B53" s="3" t="s">
        <v>341</v>
      </c>
      <c r="C53" s="9">
        <v>5</v>
      </c>
    </row>
    <row r="54" spans="2:12">
      <c r="B54" s="3" t="s">
        <v>342</v>
      </c>
      <c r="C54" s="9">
        <v>5</v>
      </c>
    </row>
    <row r="55" spans="2:12">
      <c r="B55" s="3" t="s">
        <v>343</v>
      </c>
      <c r="C55" s="4" t="s">
        <v>344</v>
      </c>
      <c r="E55" s="5" t="s">
        <v>345</v>
      </c>
    </row>
    <row r="57" spans="2:12">
      <c r="B57" s="6" t="s">
        <v>346</v>
      </c>
      <c r="C57" s="6"/>
      <c r="D57" s="6"/>
      <c r="E57" s="6"/>
    </row>
    <row r="58" spans="2:12">
      <c r="B58" s="3" t="s">
        <v>347</v>
      </c>
      <c r="C58" s="9">
        <v>4</v>
      </c>
      <c r="E58" s="5" t="s">
        <v>348</v>
      </c>
    </row>
    <row r="59" spans="2:12">
      <c r="B59" s="3" t="s">
        <v>349</v>
      </c>
      <c r="C59" s="10">
        <v>0.5</v>
      </c>
      <c r="E59" s="5" t="s">
        <v>350</v>
      </c>
    </row>
    <row r="61" spans="2:12">
      <c r="B61" s="3" t="s">
        <v>351</v>
      </c>
      <c r="C61" s="21" t="s">
        <v>352</v>
      </c>
    </row>
  </sheetData>
  <mergeCells count="7">
    <mergeCell ref="B2:E2"/>
    <mergeCell ref="B3:E3"/>
    <mergeCell ref="B5:E5"/>
    <mergeCell ref="B18:E18"/>
    <mergeCell ref="B28:E28"/>
    <mergeCell ref="B50:E50"/>
    <mergeCell ref="B57:E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F59"/>
  <sheetViews>
    <sheetView workbookViewId="0"/>
  </sheetViews>
  <sheetFormatPr defaultRowHeight="15"/>
  <cols>
    <col min="1" max="1" width="3.7109375" customWidth="1"/>
    <col min="2" max="2" width="30.7109375" customWidth="1"/>
    <col min="3" max="5" width="20.7109375" customWidth="1"/>
    <col min="6" max="6" width="36.7109375" customWidth="1"/>
  </cols>
  <sheetData>
    <row r="2" spans="2:6">
      <c r="B2" s="1" t="s">
        <v>353</v>
      </c>
      <c r="C2" s="1"/>
      <c r="D2" s="1"/>
      <c r="E2" s="1"/>
      <c r="F2" s="1"/>
    </row>
    <row r="3" spans="2:6">
      <c r="B3" s="2" t="s">
        <v>354</v>
      </c>
      <c r="C3" s="2"/>
      <c r="D3" s="2"/>
      <c r="E3" s="2"/>
      <c r="F3" s="2"/>
    </row>
    <row r="5" spans="2:6">
      <c r="B5" s="6" t="s">
        <v>355</v>
      </c>
      <c r="C5" s="6"/>
      <c r="D5" s="6"/>
      <c r="E5" s="6"/>
      <c r="F5" s="6"/>
    </row>
    <row r="6" spans="2:6" ht="30" customHeight="1">
      <c r="B6" s="11" t="s">
        <v>222</v>
      </c>
      <c r="C6" s="11" t="s">
        <v>356</v>
      </c>
      <c r="D6" s="11" t="s">
        <v>357</v>
      </c>
      <c r="E6" s="11" t="s">
        <v>358</v>
      </c>
      <c r="F6" s="11" t="s">
        <v>359</v>
      </c>
    </row>
    <row r="7" spans="2:6">
      <c r="B7" s="6" t="s">
        <v>360</v>
      </c>
      <c r="C7" s="6"/>
      <c r="D7" s="6"/>
      <c r="E7" s="6"/>
      <c r="F7" s="6"/>
    </row>
    <row r="8" spans="2:6">
      <c r="B8" s="3" t="s">
        <v>361</v>
      </c>
      <c r="C8" s="15" t="s">
        <v>362</v>
      </c>
      <c r="D8" s="15" t="s">
        <v>363</v>
      </c>
      <c r="E8" s="15" t="s">
        <v>362</v>
      </c>
      <c r="F8" s="5"/>
    </row>
    <row r="9" spans="2:6">
      <c r="B9" s="3" t="s">
        <v>364</v>
      </c>
      <c r="C9" s="15" t="s">
        <v>365</v>
      </c>
      <c r="D9" s="15" t="s">
        <v>366</v>
      </c>
      <c r="E9" s="15" t="s">
        <v>367</v>
      </c>
      <c r="F9" s="5"/>
    </row>
    <row r="10" spans="2:6">
      <c r="B10" s="3" t="s">
        <v>119</v>
      </c>
      <c r="C10" s="15" t="s">
        <v>368</v>
      </c>
      <c r="D10" s="15" t="s">
        <v>369</v>
      </c>
      <c r="E10" s="15" t="s">
        <v>370</v>
      </c>
      <c r="F10" s="5"/>
    </row>
    <row r="12" spans="2:6">
      <c r="B12" s="6" t="s">
        <v>371</v>
      </c>
      <c r="C12" s="6"/>
      <c r="D12" s="6"/>
      <c r="E12" s="6"/>
      <c r="F12" s="6"/>
    </row>
    <row r="13" spans="2:6">
      <c r="B13" s="3" t="s">
        <v>372</v>
      </c>
      <c r="C13" s="15" t="s">
        <v>58</v>
      </c>
      <c r="D13" s="15" t="s">
        <v>58</v>
      </c>
      <c r="E13" s="15" t="s">
        <v>58</v>
      </c>
      <c r="F13" s="5"/>
    </row>
    <row r="14" spans="2:6">
      <c r="B14" s="3" t="s">
        <v>373</v>
      </c>
      <c r="C14" s="15" t="s">
        <v>374</v>
      </c>
      <c r="D14" s="15" t="s">
        <v>375</v>
      </c>
      <c r="E14" s="15" t="s">
        <v>374</v>
      </c>
      <c r="F14" s="5" t="s">
        <v>376</v>
      </c>
    </row>
    <row r="15" spans="2:6">
      <c r="B15" s="3" t="s">
        <v>377</v>
      </c>
      <c r="C15" s="15" t="s">
        <v>279</v>
      </c>
      <c r="D15" s="15" t="s">
        <v>378</v>
      </c>
      <c r="E15" s="15" t="s">
        <v>279</v>
      </c>
      <c r="F15" s="5" t="s">
        <v>379</v>
      </c>
    </row>
    <row r="16" spans="2:6">
      <c r="B16" s="3" t="s">
        <v>380</v>
      </c>
      <c r="C16" s="15" t="s">
        <v>381</v>
      </c>
      <c r="D16" s="15" t="s">
        <v>382</v>
      </c>
      <c r="E16" s="15" t="s">
        <v>381</v>
      </c>
      <c r="F16" s="5" t="s">
        <v>383</v>
      </c>
    </row>
    <row r="17" spans="2:6">
      <c r="B17" s="3" t="s">
        <v>66</v>
      </c>
      <c r="C17" s="15" t="s">
        <v>384</v>
      </c>
      <c r="D17" s="15" t="s">
        <v>384</v>
      </c>
      <c r="E17" s="15" t="s">
        <v>384</v>
      </c>
      <c r="F17" s="5" t="s">
        <v>385</v>
      </c>
    </row>
    <row r="18" spans="2:6">
      <c r="B18" s="3" t="s">
        <v>68</v>
      </c>
      <c r="C18" s="15" t="s">
        <v>386</v>
      </c>
      <c r="D18" s="15" t="s">
        <v>386</v>
      </c>
      <c r="E18" s="15" t="s">
        <v>386</v>
      </c>
      <c r="F18" s="5"/>
    </row>
    <row r="20" spans="2:6">
      <c r="B20" s="6" t="s">
        <v>387</v>
      </c>
      <c r="C20" s="6"/>
      <c r="D20" s="6"/>
      <c r="E20" s="6"/>
      <c r="F20" s="6"/>
    </row>
    <row r="21" spans="2:6">
      <c r="B21" s="3" t="s">
        <v>71</v>
      </c>
      <c r="C21" s="15" t="s">
        <v>262</v>
      </c>
      <c r="D21" s="15" t="s">
        <v>388</v>
      </c>
      <c r="E21" s="15" t="s">
        <v>389</v>
      </c>
      <c r="F21" s="5" t="s">
        <v>390</v>
      </c>
    </row>
    <row r="22" spans="2:6">
      <c r="B22" s="3" t="s">
        <v>248</v>
      </c>
      <c r="C22" s="15" t="s">
        <v>391</v>
      </c>
      <c r="D22" s="15" t="s">
        <v>392</v>
      </c>
      <c r="E22" s="15" t="s">
        <v>393</v>
      </c>
      <c r="F22" s="5" t="s">
        <v>394</v>
      </c>
    </row>
    <row r="23" spans="2:6">
      <c r="B23" s="3" t="s">
        <v>75</v>
      </c>
      <c r="C23" s="15" t="s">
        <v>395</v>
      </c>
      <c r="D23" s="15" t="s">
        <v>396</v>
      </c>
      <c r="E23" s="15" t="s">
        <v>395</v>
      </c>
      <c r="F23" s="5" t="s">
        <v>397</v>
      </c>
    </row>
    <row r="24" spans="2:6">
      <c r="B24" s="3" t="s">
        <v>398</v>
      </c>
      <c r="C24" s="15" t="s">
        <v>399</v>
      </c>
      <c r="D24" s="15" t="s">
        <v>400</v>
      </c>
      <c r="E24" s="15" t="s">
        <v>401</v>
      </c>
      <c r="F24" s="5" t="s">
        <v>402</v>
      </c>
    </row>
    <row r="25" spans="2:6">
      <c r="B25" s="3" t="s">
        <v>79</v>
      </c>
      <c r="C25" s="15" t="s">
        <v>403</v>
      </c>
      <c r="D25" s="15" t="s">
        <v>404</v>
      </c>
      <c r="E25" s="15" t="s">
        <v>405</v>
      </c>
      <c r="F25" s="5" t="s">
        <v>406</v>
      </c>
    </row>
    <row r="26" spans="2:6">
      <c r="B26" s="3" t="s">
        <v>81</v>
      </c>
      <c r="C26" s="15" t="s">
        <v>407</v>
      </c>
      <c r="D26" s="15" t="s">
        <v>408</v>
      </c>
      <c r="E26" s="15" t="s">
        <v>391</v>
      </c>
      <c r="F26" s="5" t="s">
        <v>409</v>
      </c>
    </row>
    <row r="27" spans="2:6">
      <c r="B27" s="3" t="s">
        <v>410</v>
      </c>
      <c r="C27" s="15" t="s">
        <v>411</v>
      </c>
      <c r="D27" s="15" t="s">
        <v>411</v>
      </c>
      <c r="E27" s="15" t="s">
        <v>411</v>
      </c>
      <c r="F27" s="5" t="s">
        <v>412</v>
      </c>
    </row>
    <row r="29" spans="2:6">
      <c r="B29" s="6" t="s">
        <v>413</v>
      </c>
      <c r="C29" s="6"/>
      <c r="D29" s="6"/>
      <c r="E29" s="6"/>
      <c r="F29" s="6"/>
    </row>
    <row r="30" spans="2:6">
      <c r="B30" s="3" t="s">
        <v>91</v>
      </c>
      <c r="C30" s="15" t="s">
        <v>414</v>
      </c>
      <c r="D30" s="15" t="s">
        <v>415</v>
      </c>
      <c r="E30" s="15" t="s">
        <v>416</v>
      </c>
      <c r="F30" s="5" t="s">
        <v>417</v>
      </c>
    </row>
    <row r="31" spans="2:6">
      <c r="B31" s="3" t="s">
        <v>93</v>
      </c>
      <c r="C31" s="15" t="s">
        <v>403</v>
      </c>
      <c r="D31" s="15" t="s">
        <v>404</v>
      </c>
      <c r="E31" s="15" t="s">
        <v>418</v>
      </c>
      <c r="F31" s="5" t="s">
        <v>419</v>
      </c>
    </row>
    <row r="32" spans="2:6">
      <c r="B32" s="3" t="s">
        <v>95</v>
      </c>
      <c r="C32" s="15" t="s">
        <v>418</v>
      </c>
      <c r="D32" s="15" t="s">
        <v>405</v>
      </c>
      <c r="E32" s="15" t="s">
        <v>420</v>
      </c>
      <c r="F32" s="5" t="s">
        <v>421</v>
      </c>
    </row>
    <row r="33" spans="2:6">
      <c r="B33" s="3" t="s">
        <v>422</v>
      </c>
      <c r="C33" s="15" t="s">
        <v>423</v>
      </c>
      <c r="D33" s="15" t="s">
        <v>423</v>
      </c>
      <c r="E33" s="15" t="s">
        <v>423</v>
      </c>
      <c r="F33" s="5" t="s">
        <v>424</v>
      </c>
    </row>
    <row r="34" spans="2:6">
      <c r="B34" s="3" t="s">
        <v>334</v>
      </c>
      <c r="C34" s="15" t="s">
        <v>425</v>
      </c>
      <c r="D34" s="15" t="s">
        <v>425</v>
      </c>
      <c r="E34" s="15" t="s">
        <v>426</v>
      </c>
      <c r="F34" s="5" t="s">
        <v>427</v>
      </c>
    </row>
    <row r="36" spans="2:6">
      <c r="B36" s="6" t="s">
        <v>428</v>
      </c>
      <c r="C36" s="6"/>
      <c r="D36" s="6"/>
      <c r="E36" s="6"/>
      <c r="F36" s="6"/>
    </row>
    <row r="37" spans="2:6">
      <c r="B37" s="3" t="s">
        <v>86</v>
      </c>
      <c r="C37" s="15" t="s">
        <v>429</v>
      </c>
      <c r="D37" s="15" t="s">
        <v>429</v>
      </c>
      <c r="E37" s="15" t="s">
        <v>429</v>
      </c>
      <c r="F37" s="5" t="s">
        <v>430</v>
      </c>
    </row>
    <row r="38" spans="2:6">
      <c r="B38" s="3" t="s">
        <v>88</v>
      </c>
      <c r="C38" s="15" t="s">
        <v>431</v>
      </c>
      <c r="D38" s="15" t="s">
        <v>431</v>
      </c>
      <c r="E38" s="15" t="s">
        <v>411</v>
      </c>
      <c r="F38" s="5" t="s">
        <v>432</v>
      </c>
    </row>
    <row r="39" spans="2:6">
      <c r="B39" s="3" t="s">
        <v>433</v>
      </c>
      <c r="C39" s="15" t="s">
        <v>429</v>
      </c>
      <c r="D39" s="15" t="s">
        <v>429</v>
      </c>
      <c r="E39" s="15" t="s">
        <v>434</v>
      </c>
      <c r="F39" s="5"/>
    </row>
    <row r="41" spans="2:6">
      <c r="B41" s="6" t="s">
        <v>435</v>
      </c>
      <c r="C41" s="6"/>
      <c r="D41" s="6"/>
      <c r="E41" s="6"/>
      <c r="F41" s="6"/>
    </row>
    <row r="42" spans="2:6">
      <c r="B42" s="3" t="s">
        <v>120</v>
      </c>
      <c r="C42" s="15" t="s">
        <v>436</v>
      </c>
      <c r="D42" s="15" t="s">
        <v>437</v>
      </c>
      <c r="E42" s="15" t="s">
        <v>438</v>
      </c>
      <c r="F42" s="5" t="s">
        <v>439</v>
      </c>
    </row>
    <row r="43" spans="2:6">
      <c r="B43" s="3" t="s">
        <v>123</v>
      </c>
      <c r="C43" s="15" t="s">
        <v>440</v>
      </c>
      <c r="D43" s="15" t="s">
        <v>441</v>
      </c>
      <c r="E43" s="15" t="s">
        <v>408</v>
      </c>
      <c r="F43" s="5" t="s">
        <v>442</v>
      </c>
    </row>
    <row r="44" spans="2:6">
      <c r="B44" s="3" t="s">
        <v>125</v>
      </c>
      <c r="C44" s="15" t="s">
        <v>418</v>
      </c>
      <c r="D44" s="15" t="s">
        <v>405</v>
      </c>
      <c r="E44" s="15" t="s">
        <v>403</v>
      </c>
      <c r="F44" s="5" t="s">
        <v>443</v>
      </c>
    </row>
    <row r="45" spans="2:6">
      <c r="B45" s="3" t="s">
        <v>127</v>
      </c>
      <c r="C45" s="15" t="s">
        <v>420</v>
      </c>
      <c r="D45" s="15" t="s">
        <v>420</v>
      </c>
      <c r="E45" s="15" t="s">
        <v>391</v>
      </c>
      <c r="F45" s="5" t="s">
        <v>444</v>
      </c>
    </row>
    <row r="46" spans="2:6">
      <c r="B46" s="3" t="s">
        <v>129</v>
      </c>
      <c r="C46" s="15" t="s">
        <v>440</v>
      </c>
      <c r="D46" s="15" t="s">
        <v>441</v>
      </c>
      <c r="E46" s="15" t="s">
        <v>445</v>
      </c>
      <c r="F46" s="5" t="s">
        <v>446</v>
      </c>
    </row>
    <row r="47" spans="2:6">
      <c r="B47" s="3" t="s">
        <v>131</v>
      </c>
      <c r="C47" s="15" t="s">
        <v>420</v>
      </c>
      <c r="D47" s="15" t="s">
        <v>420</v>
      </c>
      <c r="E47" s="15" t="s">
        <v>407</v>
      </c>
      <c r="F47" s="5" t="s">
        <v>447</v>
      </c>
    </row>
    <row r="48" spans="2:6">
      <c r="B48" s="3" t="s">
        <v>134</v>
      </c>
      <c r="C48" s="15" t="s">
        <v>418</v>
      </c>
      <c r="D48" s="15" t="s">
        <v>405</v>
      </c>
      <c r="E48" s="15" t="s">
        <v>420</v>
      </c>
      <c r="F48" s="5" t="s">
        <v>448</v>
      </c>
    </row>
    <row r="49" spans="2:6">
      <c r="B49" s="3" t="s">
        <v>136</v>
      </c>
      <c r="C49" s="15" t="s">
        <v>403</v>
      </c>
      <c r="D49" s="15" t="s">
        <v>449</v>
      </c>
      <c r="E49" s="15" t="s">
        <v>403</v>
      </c>
      <c r="F49" s="5" t="s">
        <v>450</v>
      </c>
    </row>
    <row r="51" spans="2:6">
      <c r="B51" s="6" t="s">
        <v>451</v>
      </c>
      <c r="C51" s="6"/>
      <c r="D51" s="6"/>
      <c r="E51" s="6"/>
      <c r="F51" s="6"/>
    </row>
    <row r="52" spans="2:6">
      <c r="B52" s="3" t="s">
        <v>237</v>
      </c>
      <c r="C52" s="15" t="s">
        <v>274</v>
      </c>
      <c r="D52" s="15" t="s">
        <v>411</v>
      </c>
      <c r="E52" s="15" t="s">
        <v>452</v>
      </c>
      <c r="F52" s="5" t="s">
        <v>453</v>
      </c>
    </row>
    <row r="53" spans="2:6">
      <c r="B53" s="3" t="s">
        <v>454</v>
      </c>
      <c r="C53" s="15" t="s">
        <v>455</v>
      </c>
      <c r="D53" s="15" t="s">
        <v>456</v>
      </c>
      <c r="E53" s="15" t="s">
        <v>455</v>
      </c>
      <c r="F53" s="5"/>
    </row>
    <row r="55" spans="2:6">
      <c r="B55" s="6" t="s">
        <v>457</v>
      </c>
      <c r="C55" s="6"/>
      <c r="D55" s="6"/>
      <c r="E55" s="6"/>
      <c r="F55" s="6"/>
    </row>
    <row r="56" spans="2:6">
      <c r="B56" s="3" t="s">
        <v>458</v>
      </c>
      <c r="C56" s="15" t="s">
        <v>459</v>
      </c>
      <c r="D56" s="15" t="s">
        <v>460</v>
      </c>
      <c r="E56" s="15" t="s">
        <v>460</v>
      </c>
      <c r="F56" s="5"/>
    </row>
    <row r="57" spans="2:6">
      <c r="B57" s="3" t="s">
        <v>461</v>
      </c>
      <c r="C57" s="15" t="s">
        <v>462</v>
      </c>
      <c r="D57" s="15" t="s">
        <v>463</v>
      </c>
      <c r="E57" s="15" t="s">
        <v>464</v>
      </c>
      <c r="F57" s="5"/>
    </row>
    <row r="58" spans="2:6">
      <c r="B58" s="3" t="s">
        <v>108</v>
      </c>
      <c r="C58" s="15" t="s">
        <v>465</v>
      </c>
      <c r="D58" s="15" t="s">
        <v>465</v>
      </c>
      <c r="E58" s="15" t="s">
        <v>466</v>
      </c>
      <c r="F58" s="5"/>
    </row>
    <row r="59" spans="2:6">
      <c r="B59" s="3" t="s">
        <v>467</v>
      </c>
      <c r="C59" s="15" t="s">
        <v>468</v>
      </c>
      <c r="D59" s="15" t="s">
        <v>468</v>
      </c>
      <c r="E59" s="15" t="s">
        <v>468</v>
      </c>
      <c r="F59" s="5"/>
    </row>
  </sheetData>
  <mergeCells count="11">
    <mergeCell ref="B2:F2"/>
    <mergeCell ref="B3:F3"/>
    <mergeCell ref="B5:F5"/>
    <mergeCell ref="B7:F7"/>
    <mergeCell ref="B12:F12"/>
    <mergeCell ref="B20:F20"/>
    <mergeCell ref="B29:F29"/>
    <mergeCell ref="B36:F36"/>
    <mergeCell ref="B41:F41"/>
    <mergeCell ref="B51:F51"/>
    <mergeCell ref="B55:F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C32"/>
  <sheetViews>
    <sheetView workbookViewId="0"/>
  </sheetViews>
  <sheetFormatPr defaultRowHeight="15"/>
  <cols>
    <col min="1" max="1" width="3.7109375" customWidth="1"/>
    <col min="2" max="2" width="28.7109375" customWidth="1"/>
    <col min="3" max="3" width="70.7109375" customWidth="1"/>
  </cols>
  <sheetData>
    <row r="2" spans="2:3">
      <c r="B2" s="1" t="s">
        <v>469</v>
      </c>
      <c r="C2" s="1"/>
    </row>
    <row r="3" spans="2:3">
      <c r="B3" s="2" t="s">
        <v>470</v>
      </c>
      <c r="C3" s="2"/>
    </row>
    <row r="5" spans="2:3">
      <c r="B5" s="6" t="s">
        <v>471</v>
      </c>
      <c r="C5" s="6"/>
    </row>
    <row r="6" spans="2:3" ht="45" customHeight="1">
      <c r="B6" s="3" t="s">
        <v>190</v>
      </c>
      <c r="C6" t="s">
        <v>472</v>
      </c>
    </row>
    <row r="7" spans="2:3" ht="45" customHeight="1">
      <c r="B7" s="3" t="s">
        <v>198</v>
      </c>
      <c r="C7" t="s">
        <v>473</v>
      </c>
    </row>
    <row r="8" spans="2:3" ht="30" customHeight="1">
      <c r="B8" s="3" t="s">
        <v>201</v>
      </c>
      <c r="C8" t="s">
        <v>474</v>
      </c>
    </row>
    <row r="9" spans="2:3" ht="45" customHeight="1">
      <c r="B9" s="3" t="s">
        <v>475</v>
      </c>
      <c r="C9" t="s">
        <v>476</v>
      </c>
    </row>
    <row r="10" spans="2:3" ht="30" customHeight="1">
      <c r="B10" s="3" t="s">
        <v>477</v>
      </c>
      <c r="C10" t="s">
        <v>478</v>
      </c>
    </row>
    <row r="11" spans="2:3" ht="30" customHeight="1">
      <c r="B11" s="3" t="s">
        <v>479</v>
      </c>
      <c r="C11" t="s">
        <v>480</v>
      </c>
    </row>
    <row r="13" spans="2:3">
      <c r="B13" s="6" t="s">
        <v>481</v>
      </c>
      <c r="C13" s="6"/>
    </row>
    <row r="14" spans="2:3" ht="45" customHeight="1">
      <c r="B14" s="3" t="s">
        <v>482</v>
      </c>
      <c r="C14" t="s">
        <v>483</v>
      </c>
    </row>
    <row r="15" spans="2:3" ht="75" customHeight="1">
      <c r="B15" s="3" t="s">
        <v>484</v>
      </c>
      <c r="C15" t="s">
        <v>485</v>
      </c>
    </row>
    <row r="16" spans="2:3" ht="45" customHeight="1">
      <c r="B16" s="3" t="s">
        <v>486</v>
      </c>
      <c r="C16" t="s">
        <v>487</v>
      </c>
    </row>
    <row r="17" spans="2:3" ht="45" customHeight="1">
      <c r="B17" s="3" t="s">
        <v>488</v>
      </c>
      <c r="C17" t="s">
        <v>489</v>
      </c>
    </row>
    <row r="19" spans="2:3">
      <c r="B19" s="6" t="s">
        <v>490</v>
      </c>
      <c r="C19" s="6"/>
    </row>
    <row r="20" spans="2:3" ht="45" customHeight="1">
      <c r="B20" s="3" t="s">
        <v>491</v>
      </c>
      <c r="C20" t="s">
        <v>492</v>
      </c>
    </row>
    <row r="21" spans="2:3" ht="45" customHeight="1">
      <c r="B21" s="3" t="s">
        <v>493</v>
      </c>
      <c r="C21" t="s">
        <v>494</v>
      </c>
    </row>
    <row r="22" spans="2:3" ht="45" customHeight="1">
      <c r="B22" s="3" t="s">
        <v>495</v>
      </c>
      <c r="C22" t="s">
        <v>496</v>
      </c>
    </row>
    <row r="24" spans="2:3">
      <c r="B24" s="6" t="s">
        <v>497</v>
      </c>
      <c r="C24" s="6"/>
    </row>
    <row r="25" spans="2:3" ht="45" customHeight="1">
      <c r="B25" s="3" t="s">
        <v>120</v>
      </c>
      <c r="C25" t="s">
        <v>498</v>
      </c>
    </row>
    <row r="26" spans="2:3" ht="45" customHeight="1">
      <c r="B26" s="3" t="s">
        <v>499</v>
      </c>
      <c r="C26" t="s">
        <v>500</v>
      </c>
    </row>
    <row r="27" spans="2:3" ht="45" customHeight="1">
      <c r="B27" s="3" t="s">
        <v>134</v>
      </c>
      <c r="C27" t="s">
        <v>501</v>
      </c>
    </row>
    <row r="29" spans="2:3">
      <c r="B29" s="6" t="s">
        <v>502</v>
      </c>
      <c r="C29" s="6"/>
    </row>
    <row r="30" spans="2:3" ht="75" customHeight="1">
      <c r="B30" s="3" t="s">
        <v>503</v>
      </c>
      <c r="C30" t="s">
        <v>504</v>
      </c>
    </row>
    <row r="31" spans="2:3" ht="60" customHeight="1">
      <c r="B31" s="3" t="s">
        <v>505</v>
      </c>
      <c r="C31" t="s">
        <v>506</v>
      </c>
    </row>
    <row r="32" spans="2:3" ht="60" customHeight="1">
      <c r="B32" s="3" t="s">
        <v>507</v>
      </c>
      <c r="C32" t="s">
        <v>508</v>
      </c>
    </row>
  </sheetData>
  <mergeCells count="7">
    <mergeCell ref="B2:C2"/>
    <mergeCell ref="B3:C3"/>
    <mergeCell ref="B5:C5"/>
    <mergeCell ref="B13:C13"/>
    <mergeCell ref="B19:C19"/>
    <mergeCell ref="B24:C24"/>
    <mergeCell ref="B29:C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C27"/>
  <sheetViews>
    <sheetView workbookViewId="0"/>
  </sheetViews>
  <sheetFormatPr defaultRowHeight="15"/>
  <cols>
    <col min="1" max="1" width="3.7109375" customWidth="1"/>
    <col min="2" max="2" width="30.7109375" customWidth="1"/>
    <col min="3" max="3" width="65.7109375" customWidth="1"/>
  </cols>
  <sheetData>
    <row r="2" spans="2:3">
      <c r="B2" s="1" t="s">
        <v>509</v>
      </c>
      <c r="C2" s="1"/>
    </row>
    <row r="3" spans="2:3">
      <c r="B3" s="2" t="s">
        <v>510</v>
      </c>
      <c r="C3" s="2"/>
    </row>
    <row r="6" spans="2:3">
      <c r="B6" s="6" t="s">
        <v>511</v>
      </c>
      <c r="C6" s="6"/>
    </row>
    <row r="7" spans="2:3" ht="30" customHeight="1">
      <c r="B7" s="3" t="s">
        <v>512</v>
      </c>
      <c r="C7" t="s">
        <v>513</v>
      </c>
    </row>
    <row r="8" spans="2:3" ht="30" customHeight="1">
      <c r="B8" s="3" t="s">
        <v>514</v>
      </c>
      <c r="C8" t="s">
        <v>515</v>
      </c>
    </row>
    <row r="10" spans="2:3">
      <c r="B10" s="6" t="s">
        <v>516</v>
      </c>
      <c r="C10" s="6"/>
    </row>
    <row r="11" spans="2:3" ht="45" customHeight="1">
      <c r="B11" s="3" t="s">
        <v>517</v>
      </c>
      <c r="C11" t="s">
        <v>518</v>
      </c>
    </row>
    <row r="12" spans="2:3" ht="45" customHeight="1">
      <c r="B12" s="3" t="s">
        <v>519</v>
      </c>
      <c r="C12" t="s">
        <v>520</v>
      </c>
    </row>
    <row r="13" spans="2:3" ht="45" customHeight="1">
      <c r="B13" s="3" t="s">
        <v>521</v>
      </c>
      <c r="C13" t="s">
        <v>522</v>
      </c>
    </row>
    <row r="14" spans="2:3" ht="45" customHeight="1">
      <c r="B14" s="3" t="s">
        <v>523</v>
      </c>
      <c r="C14" t="s">
        <v>524</v>
      </c>
    </row>
    <row r="15" spans="2:3" ht="45" customHeight="1">
      <c r="B15" s="3" t="s">
        <v>525</v>
      </c>
      <c r="C15" t="s">
        <v>526</v>
      </c>
    </row>
    <row r="16" spans="2:3" ht="45" customHeight="1">
      <c r="B16" s="3" t="s">
        <v>527</v>
      </c>
      <c r="C16" t="s">
        <v>528</v>
      </c>
    </row>
    <row r="18" spans="2:3">
      <c r="B18" s="6" t="s">
        <v>529</v>
      </c>
      <c r="C18" s="6"/>
    </row>
    <row r="19" spans="2:3" ht="60" customHeight="1">
      <c r="B19" s="3" t="s">
        <v>530</v>
      </c>
      <c r="C19" t="s">
        <v>531</v>
      </c>
    </row>
    <row r="20" spans="2:3" ht="45" customHeight="1">
      <c r="B20" s="3" t="s">
        <v>532</v>
      </c>
      <c r="C20" t="s">
        <v>533</v>
      </c>
    </row>
    <row r="21" spans="2:3" ht="45" customHeight="1">
      <c r="B21" s="3" t="s">
        <v>534</v>
      </c>
      <c r="C21" t="s">
        <v>535</v>
      </c>
    </row>
    <row r="23" spans="2:3">
      <c r="B23" s="6" t="s">
        <v>536</v>
      </c>
      <c r="C23" s="6"/>
    </row>
    <row r="24" spans="2:3">
      <c r="B24" s="3" t="s">
        <v>537</v>
      </c>
      <c r="C24" t="s">
        <v>538</v>
      </c>
    </row>
    <row r="25" spans="2:3">
      <c r="B25" s="3" t="s">
        <v>539</v>
      </c>
      <c r="C25" t="s">
        <v>540</v>
      </c>
    </row>
    <row r="26" spans="2:3">
      <c r="B26" s="3" t="s">
        <v>541</v>
      </c>
      <c r="C26" t="s">
        <v>542</v>
      </c>
    </row>
    <row r="27" spans="2:3">
      <c r="B27" s="3" t="s">
        <v>543</v>
      </c>
      <c r="C27" t="s">
        <v>544</v>
      </c>
    </row>
  </sheetData>
  <mergeCells count="6">
    <mergeCell ref="B2:C2"/>
    <mergeCell ref="B3:C3"/>
    <mergeCell ref="B6:C6"/>
    <mergeCell ref="B10:C10"/>
    <mergeCell ref="B18:C18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Inputs</vt:lpstr>
      <vt:lpstr>Calculations</vt:lpstr>
      <vt:lpstr>Cash_Flows</vt:lpstr>
      <vt:lpstr>Results</vt:lpstr>
      <vt:lpstr>Sensitivity</vt:lpstr>
      <vt:lpstr>UOS_Analysis</vt:lpstr>
      <vt:lpstr>Library_Data</vt:lpstr>
      <vt:lpstr>Methodology</vt:lpstr>
      <vt:lpstr>VBA_Instructions</vt:lpstr>
      <vt:lpstr>Build_Schedule</vt:lpstr>
      <vt:lpstr>Discount_Rate</vt:lpstr>
      <vt:lpstr>Learning_Rate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2026-02-20T19:11:07Z</dcterms:created>
  <dcterms:modified xsi:type="dcterms:W3CDTF">2026-02-20T19:11:07Z</dcterms:modified>
</cp:coreProperties>
</file>