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sults" sheetId="2" r:id="rId2"/>
    <sheet name="Cash_Flows" sheetId="3" r:id="rId3"/>
    <sheet name="Calculations" sheetId="4" r:id="rId4"/>
    <sheet name="Sensitivity" sheetId="5" r:id="rId5"/>
    <sheet name="Methodology" sheetId="6" r:id="rId6"/>
    <sheet name="Library_Data" sheetId="7" r:id="rId7"/>
    <sheet name="VBA_Code" sheetId="8" r:id="rId8"/>
  </sheets>
  <definedNames>
    <definedName name="Analysis_Years">Inputs!$C15</definedName>
    <definedName name="Capacity_MW">Inputs!$C12</definedName>
    <definedName name="Discount_Rate">Inputs!$C16</definedName>
    <definedName name="Duration_Hours">Inputs!$C13</definedName>
    <definedName name="Energy_MWh">Inputs!$C14</definedName>
    <definedName name="Learning_Rate">Inputs!$C61</definedName>
  </definedNames>
  <calcPr calcId="124519" fullCalcOnLoad="1"/>
</workbook>
</file>

<file path=xl/sharedStrings.xml><?xml version="1.0" encoding="utf-8"?>
<sst xmlns="http://schemas.openxmlformats.org/spreadsheetml/2006/main" count="868" uniqueCount="688">
  <si>
    <t>BESS Economic Analysis - Project Inputs</t>
  </si>
  <si>
    <t>LIBRARY SELECTION</t>
  </si>
  <si>
    <t>Selected Library:</t>
  </si>
  <si>
    <t>Custom</t>
  </si>
  <si>
    <t>PROJECT BASICS</t>
  </si>
  <si>
    <t>Project Name</t>
  </si>
  <si>
    <t>Enter project name</t>
  </si>
  <si>
    <t>Project ID</t>
  </si>
  <si>
    <t>Unique identifier</t>
  </si>
  <si>
    <t>Location</t>
  </si>
  <si>
    <t>Site or market location</t>
  </si>
  <si>
    <t>Capacity (MW)</t>
  </si>
  <si>
    <t>Nameplate power capacity</t>
  </si>
  <si>
    <t>Duration (hours)</t>
  </si>
  <si>
    <t>Storage duration</t>
  </si>
  <si>
    <t>Energy Capacity (MWh)</t>
  </si>
  <si>
    <t>Auto-calculated: MW x hours</t>
  </si>
  <si>
    <t>Analysis Period (years)</t>
  </si>
  <si>
    <t>Economic analysis horizon</t>
  </si>
  <si>
    <t>Discount Rate (%)</t>
  </si>
  <si>
    <t>Nominal discount rate for NPV</t>
  </si>
  <si>
    <t>Ownership Type</t>
  </si>
  <si>
    <t>Utility</t>
  </si>
  <si>
    <t>Utility (6-7% WACC) or Merchant (8-10%)</t>
  </si>
  <si>
    <t>TECHNOLOGY SPECIFICATIONS</t>
  </si>
  <si>
    <t>Chemistry</t>
  </si>
  <si>
    <t>LFP</t>
  </si>
  <si>
    <t>LFP, NMC, or Other</t>
  </si>
  <si>
    <t>Round-Trip Efficiency (%)</t>
  </si>
  <si>
    <t>AC-AC efficiency</t>
  </si>
  <si>
    <t>Annual Degradation (%)</t>
  </si>
  <si>
    <t>Capacity loss per year</t>
  </si>
  <si>
    <t>Cycle Life</t>
  </si>
  <si>
    <t>Full-depth cycles before EOL</t>
  </si>
  <si>
    <t>Augmentation Year</t>
  </si>
  <si>
    <t>Year of battery replacement</t>
  </si>
  <si>
    <t>Cycles per Day</t>
  </si>
  <si>
    <t>Average daily charge/discharge cycles</t>
  </si>
  <si>
    <t>COST INPUTS (BESS)</t>
  </si>
  <si>
    <t>CapEx ($/kWh)</t>
  </si>
  <si>
    <t>$/kWh</t>
  </si>
  <si>
    <t>Installed capital cost per kWh</t>
  </si>
  <si>
    <t>Fixed O&amp;M ($/kW-year)</t>
  </si>
  <si>
    <t>$/kW-yr</t>
  </si>
  <si>
    <t>Annual fixed O&amp;M</t>
  </si>
  <si>
    <t>Variable O&amp;M ($/MWh)</t>
  </si>
  <si>
    <t>$/MWh</t>
  </si>
  <si>
    <t>Per-MWh discharge cost</t>
  </si>
  <si>
    <t>Augmentation Cost ($/kWh)</t>
  </si>
  <si>
    <t>Battery replacement cost</t>
  </si>
  <si>
    <t>Decommissioning ($/kW)</t>
  </si>
  <si>
    <t>$/kW</t>
  </si>
  <si>
    <t>End-of-life cost</t>
  </si>
  <si>
    <t>Charging Cost ($/MWh)</t>
  </si>
  <si>
    <t>Grid electricity cost for charging</t>
  </si>
  <si>
    <t>Residual Value (%)</t>
  </si>
  <si>
    <t>%</t>
  </si>
  <si>
    <t>End-of-life asset value as % of CapEx</t>
  </si>
  <si>
    <t>TAX CREDITS (BESS-Specific under IRA)</t>
  </si>
  <si>
    <t>ITC Base Rate (%)</t>
  </si>
  <si>
    <t>30% Investment Tax Credit under IRA</t>
  </si>
  <si>
    <t>ITC Adders (%)</t>
  </si>
  <si>
    <t>Energy community +10%, Domestic content +10%</t>
  </si>
  <si>
    <t>INFRASTRUCTURE COSTS (Common to all projects)</t>
  </si>
  <si>
    <t>Interconnection ($/kW)</t>
  </si>
  <si>
    <t>Network upgrades, studies</t>
  </si>
  <si>
    <t>Land ($/kW)</t>
  </si>
  <si>
    <t>Site acquisition/lease</t>
  </si>
  <si>
    <t>Permitting ($/kW)</t>
  </si>
  <si>
    <t>Permits, environmental review</t>
  </si>
  <si>
    <t>Insurance (% of CapEx)</t>
  </si>
  <si>
    <t>Annual insurance cost</t>
  </si>
  <si>
    <t>Property Tax (%)</t>
  </si>
  <si>
    <t>Annual property tax rate</t>
  </si>
  <si>
    <t>FINANCING STRUCTURE (For WACC Calculation)</t>
  </si>
  <si>
    <t>Debt Percentage (%)</t>
  </si>
  <si>
    <t>Debt/equity split (0.60 = 60% debt)</t>
  </si>
  <si>
    <t>Interest Rate (%)</t>
  </si>
  <si>
    <t>Annual interest rate on debt</t>
  </si>
  <si>
    <t>Loan Term (years)</t>
  </si>
  <si>
    <t>Debt amortization period</t>
  </si>
  <si>
    <t>Cost of Equity (%)</t>
  </si>
  <si>
    <t>Required return on equity</t>
  </si>
  <si>
    <t>Tax Rate (%)</t>
  </si>
  <si>
    <t>Corporate tax rate for interest deduction</t>
  </si>
  <si>
    <t>Calculated WACC</t>
  </si>
  <si>
    <t>Weighted Average Cost of Capital</t>
  </si>
  <si>
    <t>BENEFIT STREAMS (Year 1 Values)</t>
  </si>
  <si>
    <t>Benefit Category</t>
  </si>
  <si>
    <t>$/kW-year</t>
  </si>
  <si>
    <t>Escalation %</t>
  </si>
  <si>
    <t>Category / Citation</t>
  </si>
  <si>
    <t>Resource Adequacy</t>
  </si>
  <si>
    <t>[common] CPUC RA Report 2024</t>
  </si>
  <si>
    <t>Energy Arbitrage</t>
  </si>
  <si>
    <t>[common] Market Data 2024</t>
  </si>
  <si>
    <t>Ancillary Services</t>
  </si>
  <si>
    <t>[common] AS Reports 2024</t>
  </si>
  <si>
    <t>T&amp;D Deferral</t>
  </si>
  <si>
    <t>[common] Avoided Cost Calculator</t>
  </si>
  <si>
    <t>Resilience Value</t>
  </si>
  <si>
    <t>[common] LBNL ICE Calculator</t>
  </si>
  <si>
    <t>Renewable Integration</t>
  </si>
  <si>
    <t>[bess] NREL Grid Studies</t>
  </si>
  <si>
    <t>GHG Emissions Value</t>
  </si>
  <si>
    <t>[bess] EPA Social Cost Carbon</t>
  </si>
  <si>
    <t>Voltage Support</t>
  </si>
  <si>
    <t>[common] EPRI Distribution</t>
  </si>
  <si>
    <t>COST PROJECTIONS (Learning Curve)</t>
  </si>
  <si>
    <t>Annual Cost Decline Rate</t>
  </si>
  <si>
    <t>Technology learning rate (10-15% typical)</t>
  </si>
  <si>
    <t>Cost Base Year</t>
  </si>
  <si>
    <t>Reference year for base costs</t>
  </si>
  <si>
    <t>BULK DISCOUNT (Fleet Purchases)</t>
  </si>
  <si>
    <t>Bulk Discount Rate (%)</t>
  </si>
  <si>
    <t>Discount on ALL costs when buying fleet (e.g., 0.10 = 10%)</t>
  </si>
  <si>
    <t>Threshold Capacity (MWh)</t>
  </si>
  <si>
    <t>Minimum MWh capacity to qualify for bulk discount</t>
  </si>
  <si>
    <t>SPECIAL BENEFITS - Reliability (Avoided Outage Cost)</t>
  </si>
  <si>
    <t>Reliability Enabled</t>
  </si>
  <si>
    <t>No</t>
  </si>
  <si>
    <t>Enter "Yes" or "No"</t>
  </si>
  <si>
    <t>Outage Hours per Year</t>
  </si>
  <si>
    <t>Expected annual outage hours avoided</t>
  </si>
  <si>
    <t>Customer Cost ($/kWh)</t>
  </si>
  <si>
    <t>Cost to customers per kWh of outage (LBNL ICE)</t>
  </si>
  <si>
    <t>Backup Capacity (%)</t>
  </si>
  <si>
    <t>Fraction of capacity available for backup</t>
  </si>
  <si>
    <t>SPECIAL BENEFITS - Safety (Avoided Incident Cost)</t>
  </si>
  <si>
    <t>Safety Enabled</t>
  </si>
  <si>
    <t>Incident Probability</t>
  </si>
  <si>
    <t>Annual probability of grid safety incident (e.g., 0.001 = 0.1%)</t>
  </si>
  <si>
    <t>Incident Cost ($)</t>
  </si>
  <si>
    <t>Cost per safety incident</t>
  </si>
  <si>
    <t>Risk Reduction Factor</t>
  </si>
  <si>
    <t>Fraction of risk mitigated by BESS (e.g., 0.5 = 50%)</t>
  </si>
  <si>
    <t>SPECIAL BENEFITS - Speed-to-Serve (Faster Deployment)</t>
  </si>
  <si>
    <t>Speed-to-Serve Enabled</t>
  </si>
  <si>
    <t>Enter "Yes" or "No" - ONE-TIME Year 1 benefit</t>
  </si>
  <si>
    <t>Months Saved</t>
  </si>
  <si>
    <t>Months faster than alternative (e.g., gas peaker)</t>
  </si>
  <si>
    <t>Value per kW-Month ($)</t>
  </si>
  <si>
    <t>Value of each month of earlier deployment per kW</t>
  </si>
  <si>
    <t>GENERATE REPORTS</t>
  </si>
  <si>
    <t>Annual Cash Flow Projections</t>
  </si>
  <si>
    <t>Year</t>
  </si>
  <si>
    <t>CapEx</t>
  </si>
  <si>
    <t>Fixed O&amp;M</t>
  </si>
  <si>
    <t>Var O&amp;M</t>
  </si>
  <si>
    <t>Charging</t>
  </si>
  <si>
    <t>Insurance</t>
  </si>
  <si>
    <t>Prop Tax</t>
  </si>
  <si>
    <t>Augment</t>
  </si>
  <si>
    <t>Decommission</t>
  </si>
  <si>
    <t>Total Costs</t>
  </si>
  <si>
    <t>RA</t>
  </si>
  <si>
    <t>Arbitrage</t>
  </si>
  <si>
    <t>Ancillary</t>
  </si>
  <si>
    <t>T&amp;D</t>
  </si>
  <si>
    <t>Resilience</t>
  </si>
  <si>
    <t>Renew Int</t>
  </si>
  <si>
    <t>GHG</t>
  </si>
  <si>
    <t>Voltage</t>
  </si>
  <si>
    <t>Total Benefits</t>
  </si>
  <si>
    <t>Net CF</t>
  </si>
  <si>
    <t>Disc Factor</t>
  </si>
  <si>
    <t>PV Costs</t>
  </si>
  <si>
    <t>PV Benefits</t>
  </si>
  <si>
    <t>Cumul CF</t>
  </si>
  <si>
    <t>TOTALS</t>
  </si>
  <si>
    <t>Calculation Engine</t>
  </si>
  <si>
    <t>DERIVED VALUES</t>
  </si>
  <si>
    <t>Capacity (kW)</t>
  </si>
  <si>
    <t>Convert MW to kW</t>
  </si>
  <si>
    <t>Capacity (kWh)</t>
  </si>
  <si>
    <t>Convert MWh to kWh</t>
  </si>
  <si>
    <t>Battery CapEx ($)</t>
  </si>
  <si>
    <t>CapEx/kWh x kWh</t>
  </si>
  <si>
    <t>Infrastructure ($)</t>
  </si>
  <si>
    <t>Interconnect+Land+Permit</t>
  </si>
  <si>
    <t>Total CapEx ($)</t>
  </si>
  <si>
    <t>Battery + Infrastructure</t>
  </si>
  <si>
    <t>ITC Credit ($)</t>
  </si>
  <si>
    <t>ITC on battery only</t>
  </si>
  <si>
    <t>Net Year 0 Cost ($)</t>
  </si>
  <si>
    <t>CapEx minus ITC</t>
  </si>
  <si>
    <t>Annual Fixed O&amp;M ($)</t>
  </si>
  <si>
    <t>FOM/kW x kW</t>
  </si>
  <si>
    <t>Annual Energy (MWh)</t>
  </si>
  <si>
    <t>MWh x cycles/day x 365 x RTE</t>
  </si>
  <si>
    <t>Annual Charging Cost ($)</t>
  </si>
  <si>
    <t>Energy/RTE x charging cost</t>
  </si>
  <si>
    <t>Residual Value ($)</t>
  </si>
  <si>
    <t>CapEx x residual %</t>
  </si>
  <si>
    <t>KEY FORMULAS</t>
  </si>
  <si>
    <t>NPV</t>
  </si>
  <si>
    <t>Sum(CFt / (1+r)^t) for t=0 to N</t>
  </si>
  <si>
    <t>Brealey &amp; Myers (2020)</t>
  </si>
  <si>
    <t>BCR</t>
  </si>
  <si>
    <t>PV(Benefits) / PV(Costs)</t>
  </si>
  <si>
    <t>CPUC Standard Practice Manual</t>
  </si>
  <si>
    <t>IRR</t>
  </si>
  <si>
    <t>Rate where NPV = 0</t>
  </si>
  <si>
    <t>LCOS</t>
  </si>
  <si>
    <t>PV(Costs) / PV(Energy)</t>
  </si>
  <si>
    <t>Lazard Methodology</t>
  </si>
  <si>
    <t>Payback</t>
  </si>
  <si>
    <t>Year where cumulative CF &gt; 0</t>
  </si>
  <si>
    <t>Standard finance</t>
  </si>
  <si>
    <t>BESS Economic Analysis Results</t>
  </si>
  <si>
    <t>PROJECT SUMMARY</t>
  </si>
  <si>
    <t>Project</t>
  </si>
  <si>
    <t>Capacity</t>
  </si>
  <si>
    <t>Total Investment</t>
  </si>
  <si>
    <t>KEY FINANCIAL METRICS</t>
  </si>
  <si>
    <t>Benefit-Cost Ratio (BCR)</t>
  </si>
  <si>
    <t>BCR &gt;= 1.0 indicates benefits exceed costs</t>
  </si>
  <si>
    <t>Net Present Value (NPV)</t>
  </si>
  <si>
    <t>Positive NPV indicates value creation</t>
  </si>
  <si>
    <t>Internal Rate of Return (IRR)</t>
  </si>
  <si>
    <t>Simple Payback (years)</t>
  </si>
  <si>
    <t>Year when cumulative CF turns positive</t>
  </si>
  <si>
    <t>PV of Total Costs</t>
  </si>
  <si>
    <t>Present value of all costs</t>
  </si>
  <si>
    <t>PV of Total Benefits</t>
  </si>
  <si>
    <t>Present value of all benefits</t>
  </si>
  <si>
    <t>RECOMMENDATION</t>
  </si>
  <si>
    <t>LEVELIZED COST OF STORAGE (LCOS)</t>
  </si>
  <si>
    <t>LCOS ($/MWh)</t>
  </si>
  <si>
    <t>Levelized cost per MWh discharged</t>
  </si>
  <si>
    <t>BREAKEVEN ANALYSIS</t>
  </si>
  <si>
    <t>Breakeven CapEx ($/kWh)</t>
  </si>
  <si>
    <t>Maximum CapEx for BCR = 1.0</t>
  </si>
  <si>
    <t>Sensitivity Analysis - NPV &amp; BCR Impact</t>
  </si>
  <si>
    <t>These tables show how key metrics change with different CapEx and Benefit multipliers.</t>
  </si>
  <si>
    <t>NET PRESENT VALUE ($) SENSITIVITY</t>
  </si>
  <si>
    <t>NPV ($)</t>
  </si>
  <si>
    <t>70% Benefits</t>
  </si>
  <si>
    <t>80% Benefits</t>
  </si>
  <si>
    <t>90% Benefits</t>
  </si>
  <si>
    <t>100% Benefits</t>
  </si>
  <si>
    <t>110% Benefits</t>
  </si>
  <si>
    <t>120% Benefits</t>
  </si>
  <si>
    <t>130% Benefits</t>
  </si>
  <si>
    <t>$100/kWh</t>
  </si>
  <si>
    <t>$120/kWh</t>
  </si>
  <si>
    <t>$140/kWh</t>
  </si>
  <si>
    <t>$160/kWh</t>
  </si>
  <si>
    <t>$180/kWh</t>
  </si>
  <si>
    <t>$200/kWh</t>
  </si>
  <si>
    <t>$220/kWh</t>
  </si>
  <si>
    <t>BENEFIT-COST RATIO SENSITIVITY</t>
  </si>
  <si>
    <t>SINGLE VARIABLE IMPACTS</t>
  </si>
  <si>
    <t>Parameter</t>
  </si>
  <si>
    <t>Base Value</t>
  </si>
  <si>
    <t>-20% NPV</t>
  </si>
  <si>
    <t>+20% NPV</t>
  </si>
  <si>
    <t>Discount Rate</t>
  </si>
  <si>
    <t>NOTES</t>
  </si>
  <si>
    <t>• Green cells indicate BCR &gt;= 1.5 (strong project economics)</t>
  </si>
  <si>
    <t>• Yellow cells indicate BCR between 1.0-1.5 (marginal economics)</t>
  </si>
  <si>
    <t>• Red cells indicate BCR &lt; 1.0 (costs exceed benefits)</t>
  </si>
  <si>
    <t>• Sensitivity tables assume proportional scaling of CapEx-related costs</t>
  </si>
  <si>
    <t>• Single variable impacts show approximate NPV change for ±20% parameter change</t>
  </si>
  <si>
    <t>Methodology &amp; References</t>
  </si>
  <si>
    <t>OVERVIEW</t>
  </si>
  <si>
    <t>This workbook performs economic analysis of battery energy storage system (BESS) projects using standard discounted cash flow (DCF) methodology. All calculations follow industry-standard approaches from NREL, Lazard, and the California Public Utilities Commission (CPUC).</t>
  </si>
  <si>
    <t>Formula: NPV = Sum(CFt / (1+r)^t) for t=0 to N</t>
  </si>
  <si>
    <t>Where CFt = cash flow in year t, r = discount rate, N = analysis period</t>
  </si>
  <si>
    <t>Formula: BCR = PV(Benefits) / PV(Costs)</t>
  </si>
  <si>
    <t>BCR &gt; 1.0 indicates project creates net value; BCR &gt; 1.5 is strong</t>
  </si>
  <si>
    <t>Formula: IRR: Find r where NPV = 0</t>
  </si>
  <si>
    <t>The discount rate that makes NPV equal to zero</t>
  </si>
  <si>
    <t>Levelized Cost of Storage (LCOS)</t>
  </si>
  <si>
    <t>Formula: LCOS = PV(Costs) / PV(Energy Discharged)</t>
  </si>
  <si>
    <t>Expressed in $/MWh; enables comparison across technologies</t>
  </si>
  <si>
    <t>Technology Learning Curve</t>
  </si>
  <si>
    <t>Formula: Cost(year) = Cost(base) x (1 - learning_rate)^years</t>
  </si>
  <si>
    <t>Battery costs decline ~10-15% annually; reduces augmentation costs</t>
  </si>
  <si>
    <t>REFERENCES</t>
  </si>
  <si>
    <t>[1] NREL. Annual Technology Baseline 2024. https://atb.nrel.gov/</t>
  </si>
  <si>
    <t>[2] Lazard. Levelized Cost of Storage Analysis, Version 10.0. March 2025.</t>
  </si>
  <si>
    <t>[3] CPUC. California Standard Practice Manual. October 2001.</t>
  </si>
  <si>
    <t>[4] E3. CPUC Avoided Cost Calculator 2024.</t>
  </si>
  <si>
    <t>[5] LBNL. Interruption Cost Estimate (ICE) Calculator.</t>
  </si>
  <si>
    <t>[6] EPA. Social Cost of Greenhouse Gases. 2024.</t>
  </si>
  <si>
    <t>[7] Brealey, Myers, Allen. Principles of Corporate Finance (13th ed.). 2020.</t>
  </si>
  <si>
    <t>[8] NREL. Storage Futures Study. NREL/TP-6A20-77449. 2021.</t>
  </si>
  <si>
    <t>DISCLAIMER</t>
  </si>
  <si>
    <t>This model is provided for analytical purposes only. Results should be validated against independent sources before use in investment decisions. Actual project economics will vary based on site-specific conditions, market dynamics, and evolving technology costs.</t>
  </si>
  <si>
    <t>Assumption Library Data</t>
  </si>
  <si>
    <t>NREL ATB 2024</t>
  </si>
  <si>
    <t>Lazard LCOS 2025</t>
  </si>
  <si>
    <t>CPUC CA 2024</t>
  </si>
  <si>
    <t>Fixed O&amp;M ($/kW-yr)</t>
  </si>
  <si>
    <t>Augmentation ($/kWh)</t>
  </si>
  <si>
    <t>Residual Value</t>
  </si>
  <si>
    <t>10%</t>
  </si>
  <si>
    <t>Round-Trip Efficiency</t>
  </si>
  <si>
    <t>85%</t>
  </si>
  <si>
    <t>86%</t>
  </si>
  <si>
    <t>Annual Degradation</t>
  </si>
  <si>
    <t>2.5%</t>
  </si>
  <si>
    <t>2.0%</t>
  </si>
  <si>
    <t>Learning Rate</t>
  </si>
  <si>
    <t>12%</t>
  </si>
  <si>
    <t>11%</t>
  </si>
  <si>
    <t>Tax Credits (BESS-Specific)</t>
  </si>
  <si>
    <t>ITC Base Rate</t>
  </si>
  <si>
    <t>30%</t>
  </si>
  <si>
    <t>ITC Adders</t>
  </si>
  <si>
    <t>0%</t>
  </si>
  <si>
    <t>Infrastructure (Common)</t>
  </si>
  <si>
    <t>Insurance (% CapEx)</t>
  </si>
  <si>
    <t>0.5%</t>
  </si>
  <si>
    <t>1.0%</t>
  </si>
  <si>
    <t>1.05%</t>
  </si>
  <si>
    <t>Financing Structure</t>
  </si>
  <si>
    <t>Debt Percentage</t>
  </si>
  <si>
    <t>60%</t>
  </si>
  <si>
    <t>55%</t>
  </si>
  <si>
    <t>65%</t>
  </si>
  <si>
    <t>Interest Rate</t>
  </si>
  <si>
    <t>4.5%</t>
  </si>
  <si>
    <t>5.0%</t>
  </si>
  <si>
    <t>4.0%</t>
  </si>
  <si>
    <t>Cost of Equity</t>
  </si>
  <si>
    <t>9.5%</t>
  </si>
  <si>
    <t>Tax Rate</t>
  </si>
  <si>
    <t>21%</t>
  </si>
  <si>
    <t>6.5%</t>
  </si>
  <si>
    <t>7.5%</t>
  </si>
  <si>
    <t>6.0%</t>
  </si>
  <si>
    <t>Benefits ($/kW-yr)</t>
  </si>
  <si>
    <t>Resource Adequacy [common]</t>
  </si>
  <si>
    <t>Energy Arbitrage [common]</t>
  </si>
  <si>
    <t>Ancillary Services [common]</t>
  </si>
  <si>
    <t>T&amp;D Deferral [common]</t>
  </si>
  <si>
    <t>Resilience Value [common]</t>
  </si>
  <si>
    <t>Renewable Integration [bess]</t>
  </si>
  <si>
    <t>GHG Emissions Value [bess]</t>
  </si>
  <si>
    <t>Voltage Support [common]</t>
  </si>
  <si>
    <t>VBA Macro Code &amp; Setup Instructions</t>
  </si>
  <si>
    <t>STEP-BY-STEP INSTRUCTIONS TO ENABLE MACROS</t>
  </si>
  <si>
    <t>Step 1:</t>
  </si>
  <si>
    <t>Save this workbook as a Macro-Enabled Workbook (.xlsm)</t>
  </si>
  <si>
    <t xml:space="preserve">    File &gt; Save As &gt; Choose 'Excel Macro-Enabled Workbook (*.xlsm)'</t>
  </si>
  <si>
    <t>Step 2:</t>
  </si>
  <si>
    <t>Open the VBA Editor</t>
  </si>
  <si>
    <t xml:space="preserve">    Press Alt + F11 (Windows) or Option + F11 (Mac)</t>
  </si>
  <si>
    <t>Step 3:</t>
  </si>
  <si>
    <t>Insert a new Module</t>
  </si>
  <si>
    <t xml:space="preserve">    Right-click on 'VBAProject' in the left panel &gt; Insert &gt; Module</t>
  </si>
  <si>
    <t>Step 4:</t>
  </si>
  <si>
    <t>Copy the VBA code below and paste it into the Module</t>
  </si>
  <si>
    <t xml:space="preserve">    Select all the code in the 'COMPLETE VBA CODE' section below</t>
  </si>
  <si>
    <t>Step 5:</t>
  </si>
  <si>
    <t>Close the VBA Editor (File &gt; Close and Return to Microsoft Excel)</t>
  </si>
  <si>
    <t>Step 6:</t>
  </si>
  <si>
    <t>Create buttons on the Inputs sheet (optional)</t>
  </si>
  <si>
    <t xml:space="preserve">    Developer tab &gt; Insert &gt; Button (Form Control) &gt; Draw button &gt; Assign macro</t>
  </si>
  <si>
    <t xml:space="preserve">    Create buttons for: LoadNRELLibrary, LoadLazardLibrary, LoadCPUCLibrary</t>
  </si>
  <si>
    <t>Step 7:</t>
  </si>
  <si>
    <t>Save the workbook again to preserve the macros</t>
  </si>
  <si>
    <t>COMPLETE VBA CODE - COPY ALL BELOW</t>
  </si>
  <si>
    <t>Option Explicit</t>
  </si>
  <si>
    <t>'=================================================================</t>
  </si>
  <si>
    <t>' BESS ANALYZER VBA MACROS</t>
  </si>
  <si>
    <t>' Copy this entire module into your VBA project</t>
  </si>
  <si>
    <t>'</t>
  </si>
  <si>
    <t>' CELL REFERENCE MAP (Inputs sheet):</t>
  </si>
  <si>
    <t>' - Selected Library: C6</t>
  </si>
  <si>
    <t>' - Capacity MW: C12, Duration: C13</t>
  </si>
  <si>
    <t>' - Technology: C19 to C24</t>
  </si>
  <si>
    <t>' - Costs: C26 to C32</t>
  </si>
  <si>
    <t>' - ITC: C34, C35</t>
  </si>
  <si>
    <t>' - Infrastructure: C37 to C41</t>
  </si>
  <si>
    <t>' - Financing: C43 to C47</t>
  </si>
  <si>
    <t>' - Benefits: C52:D59 (8 rows)</t>
  </si>
  <si>
    <t>' - Learning Rate: C61</t>
  </si>
  <si>
    <t>' - Bulk Discount: C64, C65</t>
  </si>
  <si>
    <t>' - Reliability: C68 to C71</t>
  </si>
  <si>
    <t>' - Safety: C74 to C77</t>
  </si>
  <si>
    <t>' - Speed-to-Serve: C80 to C82</t>
  </si>
  <si>
    <t>Sub LoadNRELLibrary()</t>
  </si>
  <si>
    <t xml:space="preserve">    '-----------------------------------------------------------</t>
  </si>
  <si>
    <t xml:space="preserve">    ' Loads NREL ATB 2024 Moderate assumptions</t>
  </si>
  <si>
    <t xml:space="preserve">    With ThisWorkbook.Sheets("Inputs")</t>
  </si>
  <si>
    <t xml:space="preserve">        ' Library name</t>
  </si>
  <si>
    <t xml:space="preserve">        .Range("C6").Value = "NREL ATB 2024 - Moderate"</t>
  </si>
  <si>
    <t xml:space="preserve">        ' Technology Specifications</t>
  </si>
  <si>
    <t xml:space="preserve">        .Range("C19").Value = "LFP"</t>
  </si>
  <si>
    <t xml:space="preserve">        .Range("C20").Value = 0.85</t>
  </si>
  <si>
    <t xml:space="preserve">        .Range("C21").Value = 0.025</t>
  </si>
  <si>
    <t xml:space="preserve">        .Range("C22").Value = 6000</t>
  </si>
  <si>
    <t xml:space="preserve">        .Range("C23").Value = 12</t>
  </si>
  <si>
    <t xml:space="preserve">        .Range("C24").Value = 1</t>
  </si>
  <si>
    <t xml:space="preserve">        ' Cost Inputs</t>
  </si>
  <si>
    <t xml:space="preserve">        .Range("C26").Value = 160</t>
  </si>
  <si>
    <t xml:space="preserve">        .Range("C27").Value = 25</t>
  </si>
  <si>
    <t xml:space="preserve">        .Range("C28").Value = 0</t>
  </si>
  <si>
    <t xml:space="preserve">        .Range("C29").Value = 55</t>
  </si>
  <si>
    <t xml:space="preserve">        .Range("C30").Value = 10</t>
  </si>
  <si>
    <t xml:space="preserve">        .Range("C31").Value = 30</t>
  </si>
  <si>
    <t xml:space="preserve">        .Range("C32").Value = 0.1</t>
  </si>
  <si>
    <t xml:space="preserve">        ' Tax Credits</t>
  </si>
  <si>
    <t xml:space="preserve">        .Range("C34").Value = 0.3</t>
  </si>
  <si>
    <t xml:space="preserve">        .Range("C35").Value = 0</t>
  </si>
  <si>
    <t xml:space="preserve">        ' Infrastructure Costs</t>
  </si>
  <si>
    <t xml:space="preserve">        .Range("C37").Value = 100</t>
  </si>
  <si>
    <t xml:space="preserve">        .Range("C38").Value = 10</t>
  </si>
  <si>
    <t xml:space="preserve">        .Range("C39").Value = 15</t>
  </si>
  <si>
    <t xml:space="preserve">        .Range("C40").Value = 0.005</t>
  </si>
  <si>
    <t xml:space="preserve">        .Range("C41").Value = 0.01</t>
  </si>
  <si>
    <t xml:space="preserve">        ' Financing Structure</t>
  </si>
  <si>
    <t xml:space="preserve">        .Range("C43").Value = 0.6</t>
  </si>
  <si>
    <t xml:space="preserve">        .Range("C44").Value = 0.045</t>
  </si>
  <si>
    <t xml:space="preserve">        .Range("C45").Value = 15</t>
  </si>
  <si>
    <t xml:space="preserve">        .Range("C46").Value = 0.1</t>
  </si>
  <si>
    <t xml:space="preserve">        .Range("C47").Value = 0.21</t>
  </si>
  <si>
    <t xml:space="preserve">        ' Benefits ($/kW-year and escalation)</t>
  </si>
  <si>
    <t xml:space="preserve">        .Range("C52").Value = 150: .Range("D52").Value = 0.02   ' Resource Adequacy</t>
  </si>
  <si>
    <t xml:space="preserve">        .Range("C53").Value = 40: .Range("D53").Value = 0.015   ' Energy Arbitrage</t>
  </si>
  <si>
    <t xml:space="preserve">        .Range("C54").Value = 15: .Range("D54").Value = 0.01    ' Ancillary Services</t>
  </si>
  <si>
    <t xml:space="preserve">        .Range("C55").Value = 25: .Range("D55").Value = 0.02    ' T&amp;D Deferral</t>
  </si>
  <si>
    <t xml:space="preserve">        .Range("C56").Value = 50: .Range("D56").Value = 0.02    ' Resilience Value</t>
  </si>
  <si>
    <t xml:space="preserve">        .Range("C57").Value = 25: .Range("D57").Value = 0.02    ' Renewable Integration</t>
  </si>
  <si>
    <t xml:space="preserve">        .Range("C58").Value = 15: .Range("D58").Value = 0.03    ' GHG Emissions Value</t>
  </si>
  <si>
    <t xml:space="preserve">        .Range("C59").Value = 8: .Range("D59").Value = 0.01     ' Voltage Support</t>
  </si>
  <si>
    <t xml:space="preserve">        ' Learning Curve</t>
  </si>
  <si>
    <t xml:space="preserve">        .Range("C61").Value = 0.12</t>
  </si>
  <si>
    <t xml:space="preserve">        ' Bulk Discount (disabled by default)</t>
  </si>
  <si>
    <t xml:space="preserve">        .Range("C64").Value = 0</t>
  </si>
  <si>
    <t xml:space="preserve">        .Range("C65").Value = 0</t>
  </si>
  <si>
    <t xml:space="preserve">        ' Special Benefits - Reliability (disabled by default)</t>
  </si>
  <si>
    <t xml:space="preserve">        .Range("C68").Value = "No"</t>
  </si>
  <si>
    <t xml:space="preserve">        .Range("C69").Value = 4</t>
  </si>
  <si>
    <t xml:space="preserve">        .Range("C70").Value = 10</t>
  </si>
  <si>
    <t xml:space="preserve">        .Range("C71").Value = 0.5</t>
  </si>
  <si>
    <t xml:space="preserve">        ' Special Benefits - Safety (disabled)</t>
  </si>
  <si>
    <t xml:space="preserve">        .Range("C74").Value = "No"</t>
  </si>
  <si>
    <t xml:space="preserve">        .Range("C75").Value = 0.001</t>
  </si>
  <si>
    <t xml:space="preserve">        .Range("C76").Value = 500000</t>
  </si>
  <si>
    <t xml:space="preserve">        .Range("C77").Value = 0.25</t>
  </si>
  <si>
    <t xml:space="preserve">        ' Special Benefits - Speed-to-Serve (disabled)</t>
  </si>
  <si>
    <t xml:space="preserve">        .Range("C80").Value = "No"</t>
  </si>
  <si>
    <t xml:space="preserve">        .Range("C81").Value = 24</t>
  </si>
  <si>
    <t xml:space="preserve">        .Range("C82").Value = 5</t>
  </si>
  <si>
    <t xml:space="preserve">    End With</t>
  </si>
  <si>
    <t xml:space="preserve">    Application.Calculate</t>
  </si>
  <si>
    <t xml:space="preserve">    MsgBox "NREL ATB 2024 Moderate assumptions loaded successfully.", vbInformation, "Library Loaded"</t>
  </si>
  <si>
    <t>End Sub</t>
  </si>
  <si>
    <t>Sub LoadLazardLibrary()</t>
  </si>
  <si>
    <t xml:space="preserve">    ' Loads Lazard LCOS v10.0 2025 assumptions</t>
  </si>
  <si>
    <t xml:space="preserve">        .Range("C6").Value = "Lazard LCOS 2025"</t>
  </si>
  <si>
    <t xml:space="preserve">        ' Technology</t>
  </si>
  <si>
    <t xml:space="preserve">        .Range("C20").Value = 0.86</t>
  </si>
  <si>
    <t xml:space="preserve">        .Range("C21").Value = 0.02</t>
  </si>
  <si>
    <t xml:space="preserve">        .Range("C22").Value = 6500</t>
  </si>
  <si>
    <t xml:space="preserve">        ' Costs</t>
  </si>
  <si>
    <t xml:space="preserve">        .Range("C26").Value = 145</t>
  </si>
  <si>
    <t xml:space="preserve">        .Range("C27").Value = 22</t>
  </si>
  <si>
    <t xml:space="preserve">        .Range("C28").Value = 0.5</t>
  </si>
  <si>
    <t xml:space="preserve">        .Range("C29").Value = 50</t>
  </si>
  <si>
    <t xml:space="preserve">        .Range("C30").Value = 8</t>
  </si>
  <si>
    <t xml:space="preserve">        .Range("C31").Value = 35</t>
  </si>
  <si>
    <t xml:space="preserve">        ' Infrastructure</t>
  </si>
  <si>
    <t xml:space="preserve">        .Range("C37").Value = 90</t>
  </si>
  <si>
    <t xml:space="preserve">        .Range("C38").Value = 8</t>
  </si>
  <si>
    <t xml:space="preserve">        .Range("C39").Value = 12</t>
  </si>
  <si>
    <t xml:space="preserve">        ' Financing</t>
  </si>
  <si>
    <t xml:space="preserve">        .Range("C43").Value = 0.55</t>
  </si>
  <si>
    <t xml:space="preserve">        .Range("C44").Value = 0.05</t>
  </si>
  <si>
    <t xml:space="preserve">        .Range("C46").Value = 0.12</t>
  </si>
  <si>
    <t xml:space="preserve">        ' Benefits</t>
  </si>
  <si>
    <t xml:space="preserve">        .Range("C52").Value = 140: .Range("D52").Value = 0.02</t>
  </si>
  <si>
    <t xml:space="preserve">        .Range("C53").Value = 45: .Range("D53").Value = 0.02</t>
  </si>
  <si>
    <t xml:space="preserve">        .Range("C54").Value = 12: .Range("D54").Value = 0.01</t>
  </si>
  <si>
    <t xml:space="preserve">        .Range("C55").Value = 20: .Range("D55").Value = 0.015</t>
  </si>
  <si>
    <t xml:space="preserve">        .Range("C56").Value = 45: .Range("D56").Value = 0.02</t>
  </si>
  <si>
    <t xml:space="preserve">        .Range("C57").Value = 20: .Range("D57").Value = 0.02</t>
  </si>
  <si>
    <t xml:space="preserve">        .Range("C58").Value = 12: .Range("D58").Value = 0.03</t>
  </si>
  <si>
    <t xml:space="preserve">        .Range("C59").Value = 6: .Range("D59").Value = 0.01</t>
  </si>
  <si>
    <t xml:space="preserve">        .Range("C61").Value = 0.1</t>
  </si>
  <si>
    <t xml:space="preserve">        .Range("C70").Value = 8</t>
  </si>
  <si>
    <t xml:space="preserve">    MsgBox "Lazard LCOS 2025 assumptions loaded successfully.", vbInformation, "Library Loaded"</t>
  </si>
  <si>
    <t>Sub LoadCPUCLibrary()</t>
  </si>
  <si>
    <t xml:space="preserve">    ' Loads CPUC California 2024 assumptions</t>
  </si>
  <si>
    <t xml:space="preserve">    ' Includes 10% ITC Energy Community Adder</t>
  </si>
  <si>
    <t xml:space="preserve">        .Range("C6").Value = "CPUC California 2024"</t>
  </si>
  <si>
    <t xml:space="preserve">        .Range("C26").Value = 155</t>
  </si>
  <si>
    <t xml:space="preserve">        .Range("C27").Value = 26</t>
  </si>
  <si>
    <t xml:space="preserve">        .Range("C29").Value = 52</t>
  </si>
  <si>
    <t xml:space="preserve">        .Range("C30").Value = 12</t>
  </si>
  <si>
    <t xml:space="preserve">        .Range("C31").Value = 25</t>
  </si>
  <si>
    <t xml:space="preserve">        ' Tax Credits (includes Energy Community adder)</t>
  </si>
  <si>
    <t xml:space="preserve">        .Range("C35").Value = 0.1            ' 10% Energy Community Adder</t>
  </si>
  <si>
    <t xml:space="preserve">        ' Infrastructure (California-specific higher costs)</t>
  </si>
  <si>
    <t xml:space="preserve">        .Range("C37").Value = 120</t>
  </si>
  <si>
    <t xml:space="preserve">        .Range("C38").Value = 15</t>
  </si>
  <si>
    <t xml:space="preserve">        .Range("C39").Value = 20</t>
  </si>
  <si>
    <t xml:space="preserve">        .Range("C41").Value = 0.0105   ' CA property tax rate</t>
  </si>
  <si>
    <t xml:space="preserve">        ' Financing (IOU-style favorable terms)</t>
  </si>
  <si>
    <t xml:space="preserve">        .Range("C43").Value = 0.65</t>
  </si>
  <si>
    <t xml:space="preserve">        .Range("C44").Value = 0.04</t>
  </si>
  <si>
    <t xml:space="preserve">        .Range("C45").Value = 20</t>
  </si>
  <si>
    <t xml:space="preserve">        .Range("C46").Value = 0.095</t>
  </si>
  <si>
    <t xml:space="preserve">        ' Benefits (California premium values)</t>
  </si>
  <si>
    <t xml:space="preserve">        .Range("C52").Value = 180: .Range("D52").Value = 0.025  ' RA premium in CA</t>
  </si>
  <si>
    <t xml:space="preserve">        .Range("C53").Value = 35: .Range("D53").Value = 0.02</t>
  </si>
  <si>
    <t xml:space="preserve">        .Range("C54").Value = 10: .Range("D54").Value = 0.01</t>
  </si>
  <si>
    <t xml:space="preserve">        .Range("C55").Value = 25: .Range("D55").Value = 0.015</t>
  </si>
  <si>
    <t xml:space="preserve">        .Range("C56").Value = 60: .Range("D56").Value = 0.02   ' PSPS resilience value</t>
  </si>
  <si>
    <t xml:space="preserve">        .Range("C57").Value = 30: .Range("D57").Value = 0.025</t>
  </si>
  <si>
    <t xml:space="preserve">        .Range("C58").Value = 20: .Range("D58").Value = 0.03</t>
  </si>
  <si>
    <t xml:space="preserve">        .Range("C59").Value = 10: .Range("D59").Value = 0.01</t>
  </si>
  <si>
    <t xml:space="preserve">        .Range("C61").Value = 0.11</t>
  </si>
  <si>
    <t xml:space="preserve">        ' Special Benefits - Reliability (ENABLED for California PSPS events)</t>
  </si>
  <si>
    <t xml:space="preserve">        .Range("C68").Value = "Yes"</t>
  </si>
  <si>
    <t xml:space="preserve">        .Range("C69").Value = 6</t>
  </si>
  <si>
    <t xml:space="preserve">        .Range("C70").Value = 12</t>
  </si>
  <si>
    <t xml:space="preserve">        .Range("C75").Value = 0.0005</t>
  </si>
  <si>
    <t xml:space="preserve">        .Range("C76").Value = 750000</t>
  </si>
  <si>
    <t xml:space="preserve">        .Range("C77").Value = 0.3</t>
  </si>
  <si>
    <t xml:space="preserve">        .Range("C82").Value = 6</t>
  </si>
  <si>
    <t xml:space="preserve">    MsgBox "CPUC California 2024 assumptions loaded." &amp; vbCrLf &amp; _</t>
  </si>
  <si>
    <t xml:space="preserve">           "Note: Includes 10% ITC Energy Community Adder." &amp; vbCrLf &amp; _</t>
  </si>
  <si>
    <t xml:space="preserve">           "Reliability benefits enabled for PSPS events.", vbInformation, "Library Loaded"</t>
  </si>
  <si>
    <t>Sub GenerateReport()</t>
  </si>
  <si>
    <t xml:space="preserve">    ' Creates a summary report on a new "Report" sheet</t>
  </si>
  <si>
    <t xml:space="preserve">    Dim wsReport As Worksheet</t>
  </si>
  <si>
    <t xml:space="preserve">    Dim wsResults As Worksheet</t>
  </si>
  <si>
    <t xml:space="preserve">    Dim wsInputs As Worksheet</t>
  </si>
  <si>
    <t xml:space="preserve">    Dim row As Long</t>
  </si>
  <si>
    <t xml:space="preserve">    Set wsResults = ThisWorkbook.Sheets("Results")</t>
  </si>
  <si>
    <t xml:space="preserve">    Set wsInputs = ThisWorkbook.Sheets("Inputs")</t>
  </si>
  <si>
    <t xml:space="preserve">    ' Delete existing Report sheet if it exists</t>
  </si>
  <si>
    <t xml:space="preserve">    On Error Resume Next</t>
  </si>
  <si>
    <t xml:space="preserve">    Application.DisplayAlerts = False</t>
  </si>
  <si>
    <t xml:space="preserve">    ThisWorkbook.Sheets("Report").Delete</t>
  </si>
  <si>
    <t xml:space="preserve">    Application.DisplayAlerts = True</t>
  </si>
  <si>
    <t xml:space="preserve">    On Error GoTo 0</t>
  </si>
  <si>
    <t xml:space="preserve">    ' Create new Report sheet</t>
  </si>
  <si>
    <t xml:space="preserve">    Set wsReport = ThisWorkbook.Sheets.Add(After:=ThisWorkbook.Sheets(ThisWorkbook.Sheets.Count))</t>
  </si>
  <si>
    <t xml:space="preserve">    wsReport.Name = "Report"</t>
  </si>
  <si>
    <t xml:space="preserve">    row = 2</t>
  </si>
  <si>
    <t xml:space="preserve">    wsReport.Cells(row, 2).Value = "BESS ECONOMIC ANALYSIS REPORT"</t>
  </si>
  <si>
    <t xml:space="preserve">    wsReport.Cells(row, 2).Font.Bold = True</t>
  </si>
  <si>
    <t xml:space="preserve">    wsReport.Cells(row, 2).Font.Size = 18</t>
  </si>
  <si>
    <t xml:space="preserve">    wsReport.Range("B" &amp; row &amp; ":F" &amp; row).Merge</t>
  </si>
  <si>
    <t xml:space="preserve">    row = row + 2</t>
  </si>
  <si>
    <t xml:space="preserve">    ' Project Summary</t>
  </si>
  <si>
    <t xml:space="preserve">    wsReport.Cells(row, 2).Value = "PROJECT SUMMARY"</t>
  </si>
  <si>
    <t xml:space="preserve">    wsReport.Cells(row, 2).Interior.Color = RGB(227, 242, 253)</t>
  </si>
  <si>
    <t xml:space="preserve">    row = row + 1</t>
  </si>
  <si>
    <t xml:space="preserve">    wsReport.Cells(row, 2).Value = "Project:"</t>
  </si>
  <si>
    <t xml:space="preserve">    wsReport.Cells(row, 3).Value = wsInputs.Range("C9").Value</t>
  </si>
  <si>
    <t xml:space="preserve">    wsReport.Cells(row, 2).Value = "Location:"</t>
  </si>
  <si>
    <t xml:space="preserve">    wsReport.Cells(row, 3).Value = wsInputs.Range("C11").Value</t>
  </si>
  <si>
    <t xml:space="preserve">    wsReport.Cells(row, 2).Value = "Capacity:"</t>
  </si>
  <si>
    <t xml:space="preserve">    wsReport.Cells(row, 3).Value = wsInputs.Range("C12").Value &amp; " MW / " &amp; wsInputs.Range("C14").Value &amp; " MWh"</t>
  </si>
  <si>
    <t xml:space="preserve">    wsReport.Cells(row, 2).Value = "Assumptions:"</t>
  </si>
  <si>
    <t xml:space="preserve">    wsReport.Cells(row, 3).Value = wsInputs.Range("C6").Value</t>
  </si>
  <si>
    <t xml:space="preserve">    ' Key Metrics</t>
  </si>
  <si>
    <t xml:space="preserve">    wsReport.Cells(row, 2).Value = "KEY FINANCIAL METRICS"</t>
  </si>
  <si>
    <t xml:space="preserve">    wsReport.Cells(row, 2).Value = "Benefit-Cost Ratio (BCR):"</t>
  </si>
  <si>
    <t xml:space="preserve">    wsReport.Cells(row, 3).Value = wsResults.Range("C11").Value</t>
  </si>
  <si>
    <t xml:space="preserve">    wsReport.Cells(row, 3).NumberFormat = "0.00"</t>
  </si>
  <si>
    <t xml:space="preserve">    wsReport.Cells(row, 2).Value = "Net Present Value (NPV):"</t>
  </si>
  <si>
    <t xml:space="preserve">    wsReport.Cells(row, 3).Value = wsResults.Range("C12").Value</t>
  </si>
  <si>
    <t xml:space="preserve">    wsReport.Cells(row, 3).NumberFormat = "$#,##0"</t>
  </si>
  <si>
    <t xml:space="preserve">    wsReport.Cells(row, 2).Value = "Internal Rate of Return (IRR):"</t>
  </si>
  <si>
    <t xml:space="preserve">    wsReport.Cells(row, 3).Value = wsResults.Range("C13").Value</t>
  </si>
  <si>
    <t xml:space="preserve">    wsReport.Cells(row, 3).NumberFormat = "0.0%"</t>
  </si>
  <si>
    <t xml:space="preserve">    wsReport.Cells(row, 2).Value = "Payback Period:"</t>
  </si>
  <si>
    <t xml:space="preserve">    wsReport.Cells(row, 3).Value = wsResults.Range("C14").Value</t>
  </si>
  <si>
    <t xml:space="preserve">    wsReport.Cells(row, 3).NumberFormat = "0.0 "" years"""</t>
  </si>
  <si>
    <t xml:space="preserve">    ' Recommendation</t>
  </si>
  <si>
    <t xml:space="preserve">    wsReport.Cells(row, 2).Value = "RECOMMENDATION"</t>
  </si>
  <si>
    <t xml:space="preserve">    ' Color-code recommendation based on BCR</t>
  </si>
  <si>
    <t xml:space="preserve">    Dim bcr As Double</t>
  </si>
  <si>
    <t xml:space="preserve">    bcr = wsResults.Range("C11").Value</t>
  </si>
  <si>
    <t xml:space="preserve">    If bcr &gt;= 1.5 Then</t>
  </si>
  <si>
    <t xml:space="preserve">        wsReport.Cells(row, 2).Value = "STRONG PROJECT - Proceed with development"</t>
  </si>
  <si>
    <t xml:space="preserve">        wsReport.Cells(row, 2).Font.Color = RGB(0, 128, 0)</t>
  </si>
  <si>
    <t xml:space="preserve">    ElseIf bcr &gt;= 1 Then</t>
  </si>
  <si>
    <t xml:space="preserve">        wsReport.Cells(row, 2).Value = "MARGINAL PROJECT - Review assumptions carefully"</t>
  </si>
  <si>
    <t xml:space="preserve">        wsReport.Cells(row, 2).Font.Color = RGB(255, 165, 0)</t>
  </si>
  <si>
    <t xml:space="preserve">    Else</t>
  </si>
  <si>
    <t xml:space="preserve">        wsReport.Cells(row, 2).Value = "NOT RECOMMENDED - Costs exceed benefits"</t>
  </si>
  <si>
    <t xml:space="preserve">        wsReport.Cells(row, 2).Font.Color = RGB(255, 0, 0)</t>
  </si>
  <si>
    <t xml:space="preserve">    End If</t>
  </si>
  <si>
    <t xml:space="preserve">    ' Format columns</t>
  </si>
  <si>
    <t xml:space="preserve">    wsReport.Columns("B").ColumnWidth = 25</t>
  </si>
  <si>
    <t xml:space="preserve">    wsReport.Columns("C").ColumnWidth = 35</t>
  </si>
  <si>
    <t xml:space="preserve">    MsgBox "Report generated on 'Report' sheet.", vbInformation, "Report Ready"</t>
  </si>
  <si>
    <t>Sub ExportToPDF()</t>
  </si>
  <si>
    <t xml:space="preserve">    ' Exports the Report sheet to PDF</t>
  </si>
  <si>
    <t xml:space="preserve">    Dim filePath As String</t>
  </si>
  <si>
    <t xml:space="preserve">    Set wsReport = ThisWorkbook.Sheets("Report")</t>
  </si>
  <si>
    <t xml:space="preserve">    If wsReport Is Nothing Then</t>
  </si>
  <si>
    <t xml:space="preserve">        MsgBox "Please run 'Generate Report' first to create the Report sheet.", vbExclamation, "No Report Found"</t>
  </si>
  <si>
    <t xml:space="preserve">        Exit Sub</t>
  </si>
  <si>
    <t xml:space="preserve">    filePath = Application.GetSaveAsFilename( _</t>
  </si>
  <si>
    <t xml:space="preserve">        InitialFileName:="BESS_Analysis_Report.pdf", _</t>
  </si>
  <si>
    <t xml:space="preserve">        FileFilter:="PDF Files (*.pdf), *.pdf", _</t>
  </si>
  <si>
    <t xml:space="preserve">        Title:="Save Report as PDF")</t>
  </si>
  <si>
    <t xml:space="preserve">    If filePath &lt;&gt; "False" Then</t>
  </si>
  <si>
    <t xml:space="preserve">        wsReport.ExportAsFixedFormat Type:=xlTypePDF, Filename:=filePath</t>
  </si>
  <si>
    <t xml:space="preserve">        MsgBox "PDF exported successfully to:" &amp; vbCrLf &amp; filePath, vbInformation, "Export Complete"</t>
  </si>
  <si>
    <t>Sub RefreshCalculations()</t>
  </si>
  <si>
    <t xml:space="preserve">    ' Forces recalculation of all formulas</t>
  </si>
  <si>
    <t xml:space="preserve">    Application.CalculateFull</t>
  </si>
  <si>
    <t xml:space="preserve">    MsgBox "All calculations refreshed.", vbInformation, "Refresh Complete"</t>
  </si>
  <si>
    <t>Sub ShowAbout()</t>
  </si>
  <si>
    <t xml:space="preserve">    ' Shows information about the BESS Analyzer</t>
  </si>
  <si>
    <t xml:space="preserve">    MsgBox "BESS Economic Analyzer" &amp; vbCrLf &amp; vbCrLf &amp; _</t>
  </si>
  <si>
    <t xml:space="preserve">           "Version: 1.0" &amp; vbCrLf &amp; _</t>
  </si>
  <si>
    <t xml:space="preserve">           "Libraries: NREL ATB 2024, Lazard LCOS 2025, CPUC CA 2024" &amp; vbCrLf &amp; vbCrLf &amp; _</t>
  </si>
  <si>
    <t xml:space="preserve">           "This tool performs benefit-cost analysis for utility-scale" &amp; vbCrLf &amp; _</t>
  </si>
  <si>
    <t xml:space="preserve">           "battery energy storage systems (BESS) using industry-standard" &amp; vbCrLf &amp; _</t>
  </si>
  <si>
    <t xml:space="preserve">           "assumptions and methodologies.", vbInformation, "About BESS Analyzer"</t>
  </si>
  <si>
    <t>AVAILABLE MACROS - QUICK REFERENCE</t>
  </si>
  <si>
    <t>LoadNRELLibrary</t>
  </si>
  <si>
    <t>Loads NREL Annual Technology Baseline 2024 (Moderate) assumptions</t>
  </si>
  <si>
    <t>LoadLazardLibrary</t>
  </si>
  <si>
    <t>Loads Lazard Levelized Cost of Storage v10.0 (2025) assumptions</t>
  </si>
  <si>
    <t>LoadCPUCLibrary</t>
  </si>
  <si>
    <t>Loads CPUC California 2024 assumptions with 10% ITC Energy Community Adder</t>
  </si>
  <si>
    <t>GenerateReport</t>
  </si>
  <si>
    <t>Creates a summary report on a new 'Report' sheet</t>
  </si>
  <si>
    <t>ExportToPDF</t>
  </si>
  <si>
    <t>Exports the Report sheet to a PDF file</t>
  </si>
  <si>
    <t>RefreshCalculations</t>
  </si>
  <si>
    <t>Forces full recalculation of all workbook formulas</t>
  </si>
  <si>
    <t>ShowAbout</t>
  </si>
  <si>
    <t>Displays information about the BESS Analyzer</t>
  </si>
  <si>
    <t>CELL REFERENCE MAP (Inputs Sheet)</t>
  </si>
  <si>
    <t>Selected Library</t>
  </si>
  <si>
    <t>C6</t>
  </si>
  <si>
    <t>C12</t>
  </si>
  <si>
    <t>C13</t>
  </si>
  <si>
    <t>C14</t>
  </si>
  <si>
    <t>Analysis Period</t>
  </si>
  <si>
    <t>C15</t>
  </si>
  <si>
    <t>C16</t>
  </si>
  <si>
    <t>C19</t>
  </si>
  <si>
    <t>C20</t>
  </si>
  <si>
    <t>C24</t>
  </si>
  <si>
    <t>C26</t>
  </si>
  <si>
    <t>C27</t>
  </si>
  <si>
    <t>C34</t>
  </si>
  <si>
    <t>C35</t>
  </si>
  <si>
    <t>Interconnection</t>
  </si>
  <si>
    <t>C37</t>
  </si>
  <si>
    <t>C43</t>
  </si>
  <si>
    <t>Benefits Start Row</t>
  </si>
  <si>
    <t>C52</t>
  </si>
  <si>
    <t>Benefits End Row</t>
  </si>
  <si>
    <t>C59</t>
  </si>
  <si>
    <t>C61</t>
  </si>
  <si>
    <t>Bulk Discount Rate</t>
  </si>
  <si>
    <t>C64</t>
  </si>
  <si>
    <t>Bulk Discount Threshold</t>
  </si>
  <si>
    <t>C65</t>
  </si>
  <si>
    <t>C68</t>
  </si>
  <si>
    <t>Outage Hours</t>
  </si>
  <si>
    <t>C69</t>
  </si>
  <si>
    <t>C70</t>
  </si>
  <si>
    <t>Backup Capacity %</t>
  </si>
  <si>
    <t>C71</t>
  </si>
  <si>
    <t>C74</t>
  </si>
  <si>
    <t>C75</t>
  </si>
  <si>
    <t>Incident Cost</t>
  </si>
  <si>
    <t>C76</t>
  </si>
  <si>
    <t>Risk Reduction</t>
  </si>
  <si>
    <t>C77</t>
  </si>
  <si>
    <t>Speed Enabled</t>
  </si>
  <si>
    <t>C80</t>
  </si>
  <si>
    <t>C81</t>
  </si>
  <si>
    <t>Value per kW-Month</t>
  </si>
  <si>
    <t>C82</t>
  </si>
  <si>
    <t>TROUBLESHOOTING</t>
  </si>
  <si>
    <t>• If buttons don't work: Make sure you saved as .xlsm and macros are enabled</t>
  </si>
  <si>
    <t>• If macros are disabled: Go to File &gt; Options &gt; Trust Center &gt; Trust Center Settings &gt; Macro Settings</t>
  </si>
  <si>
    <t>• If cell references are wrong: Check the Cell Reference Map above</t>
  </si>
  <si>
    <t>• To edit macros: Press Alt+F11 to open VBA Editor, then modify the code in the Module</t>
  </si>
  <si>
    <t>• To assign macros to buttons: Right-click button &gt; Assign Macro &gt; Select from list</t>
  </si>
</sst>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$#,##0"/>
    <numFmt numFmtId="167" formatCode="0.00"/>
    <numFmt numFmtId="168" formatCode="0.0"/>
    <numFmt numFmtId="169" formatCode="$#,##0,,&quot;M&quot;"/>
  </numFmts>
  <fonts count="8">
    <font>
      <sz val="11"/>
      <color theme="1"/>
      <name val="Calibri"/>
      <family val="2"/>
      <scheme val="minor"/>
    </font>
    <font>
      <b/>
      <sz val="16"/>
      <color rgb="FF1565C0"/>
      <name val="Calibri"/>
      <family val="2"/>
      <scheme val="minor"/>
    </font>
    <font>
      <b/>
      <sz val="12"/>
      <color rgb="FF1565C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0" fillId="4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9" fontId="6" fillId="2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166" fontId="0" fillId="4" borderId="1" xfId="0" applyNumberFormat="1" applyFill="1" applyBorder="1"/>
    <xf numFmtId="164" fontId="0" fillId="0" borderId="1" xfId="0" applyNumberFormat="1" applyBorder="1"/>
    <xf numFmtId="0" fontId="0" fillId="0" borderId="0" xfId="0" applyAlignment="1">
      <alignment vertical="top" wrapText="1"/>
    </xf>
    <xf numFmtId="0" fontId="3" fillId="2" borderId="1" xfId="0" applyFont="1" applyFill="1" applyBorder="1"/>
    <xf numFmtId="0" fontId="7" fillId="6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</font>
      <fill>
        <patternFill>
          <bgColor rgb="FFC8E6C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fill>
        <patternFill>
          <bgColor rgb="FFFFF9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fill>
        <patternFill>
          <bgColor rgb="FFFFCDD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84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15.7109375" customWidth="1"/>
    <col min="5" max="5" width="45.7109375" customWidth="1"/>
  </cols>
  <sheetData>
    <row r="2" spans="2:5">
      <c r="B2" s="1" t="s">
        <v>0</v>
      </c>
      <c r="C2" s="1"/>
      <c r="D2" s="1"/>
      <c r="E2" s="1"/>
    </row>
    <row r="3" spans="2:5">
      <c r="B3" s="2" t="s">
        <v>1</v>
      </c>
      <c r="C3" s="2"/>
      <c r="D3" s="2"/>
      <c r="E3" s="2"/>
    </row>
    <row r="6" spans="2:5">
      <c r="B6" s="3" t="s">
        <v>2</v>
      </c>
      <c r="C6" s="4" t="s">
        <v>3</v>
      </c>
    </row>
    <row r="8" spans="2:5">
      <c r="B8" s="2" t="s">
        <v>4</v>
      </c>
      <c r="C8" s="2"/>
      <c r="D8" s="2"/>
      <c r="E8" s="2"/>
    </row>
    <row r="9" spans="2:5">
      <c r="B9" s="3" t="s">
        <v>5</v>
      </c>
      <c r="C9" s="4"/>
      <c r="E9" s="5" t="s">
        <v>6</v>
      </c>
    </row>
    <row r="10" spans="2:5">
      <c r="B10" s="3" t="s">
        <v>7</v>
      </c>
      <c r="C10" s="4"/>
      <c r="E10" s="5" t="s">
        <v>8</v>
      </c>
    </row>
    <row r="11" spans="2:5">
      <c r="B11" s="3" t="s">
        <v>9</v>
      </c>
      <c r="C11" s="4"/>
      <c r="E11" s="5" t="s">
        <v>10</v>
      </c>
    </row>
    <row r="12" spans="2:5">
      <c r="B12" s="3" t="s">
        <v>11</v>
      </c>
      <c r="C12" s="4">
        <v>100</v>
      </c>
      <c r="E12" s="5" t="s">
        <v>12</v>
      </c>
    </row>
    <row r="13" spans="2:5">
      <c r="B13" s="3" t="s">
        <v>13</v>
      </c>
      <c r="C13" s="4">
        <v>4</v>
      </c>
      <c r="E13" s="5" t="s">
        <v>14</v>
      </c>
    </row>
    <row r="14" spans="2:5">
      <c r="B14" s="3" t="s">
        <v>15</v>
      </c>
      <c r="C14" s="6">
        <f>C12*C13</f>
        <v>0</v>
      </c>
      <c r="E14" s="5" t="s">
        <v>16</v>
      </c>
    </row>
    <row r="15" spans="2:5">
      <c r="B15" s="3" t="s">
        <v>17</v>
      </c>
      <c r="C15" s="4">
        <v>20</v>
      </c>
      <c r="E15" s="5" t="s">
        <v>18</v>
      </c>
    </row>
    <row r="16" spans="2:5">
      <c r="B16" s="3" t="s">
        <v>19</v>
      </c>
      <c r="C16" s="7">
        <v>0.07000000000000001</v>
      </c>
      <c r="E16" s="5" t="s">
        <v>20</v>
      </c>
    </row>
    <row r="17" spans="2:5">
      <c r="B17" s="3" t="s">
        <v>21</v>
      </c>
      <c r="C17" s="4" t="s">
        <v>22</v>
      </c>
      <c r="E17" s="5" t="s">
        <v>23</v>
      </c>
    </row>
    <row r="18" spans="2:5">
      <c r="B18" s="2" t="s">
        <v>24</v>
      </c>
      <c r="C18" s="2"/>
      <c r="D18" s="2"/>
      <c r="E18" s="2"/>
    </row>
    <row r="19" spans="2:5">
      <c r="B19" s="3" t="s">
        <v>25</v>
      </c>
      <c r="C19" s="4" t="s">
        <v>26</v>
      </c>
      <c r="E19" s="5" t="s">
        <v>27</v>
      </c>
    </row>
    <row r="20" spans="2:5">
      <c r="B20" s="3" t="s">
        <v>28</v>
      </c>
      <c r="C20" s="7">
        <v>0.85</v>
      </c>
      <c r="E20" s="5" t="s">
        <v>29</v>
      </c>
    </row>
    <row r="21" spans="2:5">
      <c r="B21" s="3" t="s">
        <v>30</v>
      </c>
      <c r="C21" s="7">
        <v>0.025</v>
      </c>
      <c r="E21" s="5" t="s">
        <v>31</v>
      </c>
    </row>
    <row r="22" spans="2:5">
      <c r="B22" s="3" t="s">
        <v>32</v>
      </c>
      <c r="C22" s="4">
        <v>6000</v>
      </c>
      <c r="E22" s="5" t="s">
        <v>33</v>
      </c>
    </row>
    <row r="23" spans="2:5">
      <c r="B23" s="3" t="s">
        <v>34</v>
      </c>
      <c r="C23" s="4">
        <v>12</v>
      </c>
      <c r="E23" s="5" t="s">
        <v>35</v>
      </c>
    </row>
    <row r="24" spans="2:5">
      <c r="B24" s="3" t="s">
        <v>36</v>
      </c>
      <c r="C24" s="4">
        <v>1</v>
      </c>
      <c r="E24" s="5" t="s">
        <v>37</v>
      </c>
    </row>
    <row r="25" spans="2:5">
      <c r="B25" s="2" t="s">
        <v>38</v>
      </c>
      <c r="C25" s="2"/>
      <c r="D25" s="2"/>
      <c r="E25" s="2"/>
    </row>
    <row r="26" spans="2:5">
      <c r="B26" s="3" t="s">
        <v>39</v>
      </c>
      <c r="C26" s="8">
        <v>160</v>
      </c>
      <c r="D26" t="s">
        <v>40</v>
      </c>
      <c r="E26" s="5" t="s">
        <v>41</v>
      </c>
    </row>
    <row r="27" spans="2:5">
      <c r="B27" s="3" t="s">
        <v>42</v>
      </c>
      <c r="C27" s="8">
        <v>25</v>
      </c>
      <c r="D27" t="s">
        <v>43</v>
      </c>
      <c r="E27" s="5" t="s">
        <v>44</v>
      </c>
    </row>
    <row r="28" spans="2:5">
      <c r="B28" s="3" t="s">
        <v>45</v>
      </c>
      <c r="C28" s="8">
        <v>0</v>
      </c>
      <c r="D28" t="s">
        <v>46</v>
      </c>
      <c r="E28" s="5" t="s">
        <v>47</v>
      </c>
    </row>
    <row r="29" spans="2:5">
      <c r="B29" s="3" t="s">
        <v>48</v>
      </c>
      <c r="C29" s="8">
        <v>55</v>
      </c>
      <c r="D29" t="s">
        <v>40</v>
      </c>
      <c r="E29" s="5" t="s">
        <v>49</v>
      </c>
    </row>
    <row r="30" spans="2:5">
      <c r="B30" s="3" t="s">
        <v>50</v>
      </c>
      <c r="C30" s="8">
        <v>10</v>
      </c>
      <c r="D30" t="s">
        <v>51</v>
      </c>
      <c r="E30" s="5" t="s">
        <v>52</v>
      </c>
    </row>
    <row r="31" spans="2:5">
      <c r="B31" s="3" t="s">
        <v>53</v>
      </c>
      <c r="C31" s="8">
        <v>30</v>
      </c>
      <c r="D31" t="s">
        <v>46</v>
      </c>
      <c r="E31" s="5" t="s">
        <v>54</v>
      </c>
    </row>
    <row r="32" spans="2:5">
      <c r="B32" s="3" t="s">
        <v>55</v>
      </c>
      <c r="C32" s="7">
        <v>0.1</v>
      </c>
      <c r="D32" t="s">
        <v>56</v>
      </c>
      <c r="E32" s="5" t="s">
        <v>57</v>
      </c>
    </row>
    <row r="33" spans="2:5">
      <c r="B33" s="2" t="s">
        <v>58</v>
      </c>
      <c r="C33" s="2"/>
      <c r="D33" s="2"/>
      <c r="E33" s="2"/>
    </row>
    <row r="34" spans="2:5">
      <c r="B34" s="3" t="s">
        <v>59</v>
      </c>
      <c r="C34" s="7">
        <v>0.3</v>
      </c>
      <c r="E34" s="5" t="s">
        <v>60</v>
      </c>
    </row>
    <row r="35" spans="2:5">
      <c r="B35" s="3" t="s">
        <v>61</v>
      </c>
      <c r="C35" s="7">
        <v>0</v>
      </c>
      <c r="E35" s="5" t="s">
        <v>62</v>
      </c>
    </row>
    <row r="36" spans="2:5">
      <c r="B36" s="2" t="s">
        <v>63</v>
      </c>
      <c r="C36" s="2"/>
      <c r="D36" s="2"/>
      <c r="E36" s="2"/>
    </row>
    <row r="37" spans="2:5">
      <c r="B37" s="3" t="s">
        <v>64</v>
      </c>
      <c r="C37" s="8">
        <v>100</v>
      </c>
      <c r="D37" t="s">
        <v>51</v>
      </c>
      <c r="E37" s="5" t="s">
        <v>65</v>
      </c>
    </row>
    <row r="38" spans="2:5">
      <c r="B38" s="3" t="s">
        <v>66</v>
      </c>
      <c r="C38" s="8">
        <v>10</v>
      </c>
      <c r="D38" t="s">
        <v>51</v>
      </c>
      <c r="E38" s="5" t="s">
        <v>67</v>
      </c>
    </row>
    <row r="39" spans="2:5">
      <c r="B39" s="3" t="s">
        <v>68</v>
      </c>
      <c r="C39" s="8">
        <v>15</v>
      </c>
      <c r="D39" t="s">
        <v>51</v>
      </c>
      <c r="E39" s="5" t="s">
        <v>69</v>
      </c>
    </row>
    <row r="40" spans="2:5">
      <c r="B40" s="3" t="s">
        <v>70</v>
      </c>
      <c r="C40" s="7">
        <v>0.005</v>
      </c>
      <c r="D40" t="s">
        <v>56</v>
      </c>
      <c r="E40" s="5" t="s">
        <v>71</v>
      </c>
    </row>
    <row r="41" spans="2:5">
      <c r="B41" s="3" t="s">
        <v>72</v>
      </c>
      <c r="C41" s="7">
        <v>0.01</v>
      </c>
      <c r="D41" t="s">
        <v>56</v>
      </c>
      <c r="E41" s="5" t="s">
        <v>73</v>
      </c>
    </row>
    <row r="42" spans="2:5">
      <c r="B42" s="2" t="s">
        <v>74</v>
      </c>
      <c r="C42" s="2"/>
      <c r="D42" s="2"/>
      <c r="E42" s="2"/>
    </row>
    <row r="43" spans="2:5">
      <c r="B43" s="3" t="s">
        <v>75</v>
      </c>
      <c r="C43" s="7">
        <v>0.6</v>
      </c>
      <c r="E43" s="5" t="s">
        <v>76</v>
      </c>
    </row>
    <row r="44" spans="2:5">
      <c r="B44" s="3" t="s">
        <v>77</v>
      </c>
      <c r="C44" s="7">
        <v>0.05</v>
      </c>
      <c r="E44" s="5" t="s">
        <v>78</v>
      </c>
    </row>
    <row r="45" spans="2:5">
      <c r="B45" s="3" t="s">
        <v>79</v>
      </c>
      <c r="C45" s="4">
        <v>15</v>
      </c>
      <c r="E45" s="5" t="s">
        <v>80</v>
      </c>
    </row>
    <row r="46" spans="2:5">
      <c r="B46" s="3" t="s">
        <v>81</v>
      </c>
      <c r="C46" s="7">
        <v>0.1</v>
      </c>
      <c r="E46" s="5" t="s">
        <v>82</v>
      </c>
    </row>
    <row r="47" spans="2:5">
      <c r="B47" s="3" t="s">
        <v>83</v>
      </c>
      <c r="C47" s="7">
        <v>0.21</v>
      </c>
      <c r="E47" s="5" t="s">
        <v>84</v>
      </c>
    </row>
    <row r="48" spans="2:5">
      <c r="B48" s="3" t="s">
        <v>85</v>
      </c>
      <c r="C48" s="6">
        <f>(1-C43)*C46+C43*C44*(1-C47)</f>
        <v>0</v>
      </c>
      <c r="E48" s="5" t="s">
        <v>86</v>
      </c>
    </row>
    <row r="50" spans="2:5">
      <c r="B50" s="2" t="s">
        <v>87</v>
      </c>
      <c r="C50" s="2"/>
      <c r="D50" s="2"/>
      <c r="E50" s="2"/>
    </row>
    <row r="51" spans="2:5">
      <c r="B51" s="9" t="s">
        <v>88</v>
      </c>
      <c r="C51" s="9" t="s">
        <v>89</v>
      </c>
      <c r="D51" s="9" t="s">
        <v>90</v>
      </c>
      <c r="E51" s="9" t="s">
        <v>91</v>
      </c>
    </row>
    <row r="52" spans="2:5">
      <c r="B52" t="s">
        <v>92</v>
      </c>
      <c r="C52" s="8">
        <v>150</v>
      </c>
      <c r="D52" s="7">
        <v>0.02</v>
      </c>
      <c r="E52" s="5" t="s">
        <v>93</v>
      </c>
    </row>
    <row r="53" spans="2:5">
      <c r="B53" t="s">
        <v>94</v>
      </c>
      <c r="C53" s="8">
        <v>40</v>
      </c>
      <c r="D53" s="7">
        <v>0.015</v>
      </c>
      <c r="E53" s="5" t="s">
        <v>95</v>
      </c>
    </row>
    <row r="54" spans="2:5">
      <c r="B54" t="s">
        <v>96</v>
      </c>
      <c r="C54" s="8">
        <v>15</v>
      </c>
      <c r="D54" s="7">
        <v>0.01</v>
      </c>
      <c r="E54" s="5" t="s">
        <v>97</v>
      </c>
    </row>
    <row r="55" spans="2:5">
      <c r="B55" t="s">
        <v>98</v>
      </c>
      <c r="C55" s="8">
        <v>25</v>
      </c>
      <c r="D55" s="7">
        <v>0.02</v>
      </c>
      <c r="E55" s="5" t="s">
        <v>99</v>
      </c>
    </row>
    <row r="56" spans="2:5">
      <c r="B56" t="s">
        <v>100</v>
      </c>
      <c r="C56" s="8">
        <v>50</v>
      </c>
      <c r="D56" s="7">
        <v>0.02</v>
      </c>
      <c r="E56" s="5" t="s">
        <v>101</v>
      </c>
    </row>
    <row r="57" spans="2:5">
      <c r="B57" t="s">
        <v>102</v>
      </c>
      <c r="C57" s="8">
        <v>25</v>
      </c>
      <c r="D57" s="7">
        <v>0.02</v>
      </c>
      <c r="E57" s="5" t="s">
        <v>103</v>
      </c>
    </row>
    <row r="58" spans="2:5">
      <c r="B58" t="s">
        <v>104</v>
      </c>
      <c r="C58" s="8">
        <v>15</v>
      </c>
      <c r="D58" s="7">
        <v>0.03</v>
      </c>
      <c r="E58" s="5" t="s">
        <v>105</v>
      </c>
    </row>
    <row r="59" spans="2:5">
      <c r="B59" t="s">
        <v>106</v>
      </c>
      <c r="C59" s="8">
        <v>8</v>
      </c>
      <c r="D59" s="7">
        <v>0.01</v>
      </c>
      <c r="E59" s="5" t="s">
        <v>107</v>
      </c>
    </row>
    <row r="60" spans="2:5">
      <c r="B60" s="2" t="s">
        <v>108</v>
      </c>
      <c r="C60" s="2"/>
      <c r="D60" s="2"/>
      <c r="E60" s="2"/>
    </row>
    <row r="61" spans="2:5">
      <c r="B61" s="3" t="s">
        <v>109</v>
      </c>
      <c r="C61" s="7">
        <v>0.1</v>
      </c>
      <c r="E61" s="5" t="s">
        <v>110</v>
      </c>
    </row>
    <row r="62" spans="2:5">
      <c r="B62" s="3" t="s">
        <v>111</v>
      </c>
      <c r="C62" s="4">
        <v>2024</v>
      </c>
      <c r="E62" s="5" t="s">
        <v>112</v>
      </c>
    </row>
    <row r="63" spans="2:5">
      <c r="B63" s="2" t="s">
        <v>113</v>
      </c>
      <c r="C63" s="2"/>
      <c r="D63" s="2"/>
      <c r="E63" s="2"/>
    </row>
    <row r="64" spans="2:5">
      <c r="B64" s="3" t="s">
        <v>114</v>
      </c>
      <c r="C64" s="7">
        <v>0</v>
      </c>
      <c r="E64" s="5" t="s">
        <v>115</v>
      </c>
    </row>
    <row r="65" spans="2:5">
      <c r="B65" s="3" t="s">
        <v>116</v>
      </c>
      <c r="C65" s="4">
        <v>0</v>
      </c>
      <c r="E65" s="5" t="s">
        <v>117</v>
      </c>
    </row>
    <row r="67" spans="2:5">
      <c r="B67" s="2" t="s">
        <v>118</v>
      </c>
      <c r="C67" s="2"/>
      <c r="D67" s="2"/>
      <c r="E67" s="2"/>
    </row>
    <row r="68" spans="2:5">
      <c r="B68" s="3" t="s">
        <v>119</v>
      </c>
      <c r="C68" s="4" t="s">
        <v>120</v>
      </c>
      <c r="E68" s="5" t="s">
        <v>121</v>
      </c>
    </row>
    <row r="69" spans="2:5">
      <c r="B69" s="3" t="s">
        <v>122</v>
      </c>
      <c r="C69" s="4">
        <v>4</v>
      </c>
      <c r="E69" s="5" t="s">
        <v>123</v>
      </c>
    </row>
    <row r="70" spans="2:5">
      <c r="B70" s="3" t="s">
        <v>124</v>
      </c>
      <c r="C70" s="8">
        <v>10</v>
      </c>
      <c r="E70" s="5" t="s">
        <v>125</v>
      </c>
    </row>
    <row r="71" spans="2:5">
      <c r="B71" s="3" t="s">
        <v>126</v>
      </c>
      <c r="C71" s="7">
        <v>0.5</v>
      </c>
      <c r="E71" s="5" t="s">
        <v>127</v>
      </c>
    </row>
    <row r="73" spans="2:5">
      <c r="B73" s="2" t="s">
        <v>128</v>
      </c>
      <c r="C73" s="2"/>
      <c r="D73" s="2"/>
      <c r="E73" s="2"/>
    </row>
    <row r="74" spans="2:5">
      <c r="B74" s="3" t="s">
        <v>129</v>
      </c>
      <c r="C74" s="4" t="s">
        <v>120</v>
      </c>
      <c r="E74" s="5" t="s">
        <v>121</v>
      </c>
    </row>
    <row r="75" spans="2:5">
      <c r="B75" s="3" t="s">
        <v>130</v>
      </c>
      <c r="C75" s="4">
        <v>0.001</v>
      </c>
      <c r="E75" s="5" t="s">
        <v>131</v>
      </c>
    </row>
    <row r="76" spans="2:5">
      <c r="B76" s="3" t="s">
        <v>132</v>
      </c>
      <c r="C76" s="8">
        <v>1000000</v>
      </c>
      <c r="E76" s="5" t="s">
        <v>133</v>
      </c>
    </row>
    <row r="77" spans="2:5">
      <c r="B77" s="3" t="s">
        <v>134</v>
      </c>
      <c r="C77" s="7">
        <v>0.5</v>
      </c>
      <c r="E77" s="5" t="s">
        <v>135</v>
      </c>
    </row>
    <row r="79" spans="2:5">
      <c r="B79" s="2" t="s">
        <v>136</v>
      </c>
      <c r="C79" s="2"/>
      <c r="D79" s="2"/>
      <c r="E79" s="2"/>
    </row>
    <row r="80" spans="2:5">
      <c r="B80" s="3" t="s">
        <v>137</v>
      </c>
      <c r="C80" s="4" t="s">
        <v>120</v>
      </c>
      <c r="E80" s="5" t="s">
        <v>138</v>
      </c>
    </row>
    <row r="81" spans="2:5">
      <c r="B81" s="3" t="s">
        <v>139</v>
      </c>
      <c r="C81" s="4">
        <v>24</v>
      </c>
      <c r="E81" s="5" t="s">
        <v>140</v>
      </c>
    </row>
    <row r="82" spans="2:5">
      <c r="B82" s="3" t="s">
        <v>141</v>
      </c>
      <c r="C82" s="8">
        <v>5</v>
      </c>
      <c r="E82" s="5" t="s">
        <v>142</v>
      </c>
    </row>
    <row r="84" spans="2:5">
      <c r="B84" s="2" t="s">
        <v>143</v>
      </c>
      <c r="C84" s="2"/>
      <c r="D84" s="2"/>
      <c r="E84" s="2"/>
    </row>
  </sheetData>
  <mergeCells count="15">
    <mergeCell ref="B2:E2"/>
    <mergeCell ref="B3:E3"/>
    <mergeCell ref="B8:E8"/>
    <mergeCell ref="B18:E18"/>
    <mergeCell ref="B25:E25"/>
    <mergeCell ref="B33:E33"/>
    <mergeCell ref="B36:E36"/>
    <mergeCell ref="B42:E42"/>
    <mergeCell ref="B50:E50"/>
    <mergeCell ref="B60:E60"/>
    <mergeCell ref="B63:E63"/>
    <mergeCell ref="B67:E67"/>
    <mergeCell ref="B73:E73"/>
    <mergeCell ref="B79:E79"/>
    <mergeCell ref="B84:E8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E25"/>
  <sheetViews>
    <sheetView workbookViewId="0"/>
  </sheetViews>
  <sheetFormatPr defaultRowHeight="15"/>
  <cols>
    <col min="1" max="1" width="3.7109375" customWidth="1"/>
    <col min="2" max="2" width="25.7109375" customWidth="1"/>
    <col min="3" max="3" width="20.7109375" customWidth="1"/>
    <col min="4" max="4" width="15.7109375" customWidth="1"/>
    <col min="5" max="5" width="40.7109375" customWidth="1"/>
  </cols>
  <sheetData>
    <row r="2" spans="2:5">
      <c r="B2" s="1" t="s">
        <v>209</v>
      </c>
      <c r="C2" s="1"/>
      <c r="D2" s="1"/>
      <c r="E2" s="1"/>
    </row>
    <row r="4" spans="2:5">
      <c r="B4" s="2" t="s">
        <v>210</v>
      </c>
      <c r="C4" s="2"/>
      <c r="D4" s="2"/>
      <c r="E4" s="2"/>
    </row>
    <row r="5" spans="2:5">
      <c r="B5" s="3" t="s">
        <v>211</v>
      </c>
      <c r="C5" s="10">
        <f>Inputs!C9</f>
        <v>0</v>
      </c>
    </row>
    <row r="6" spans="2:5">
      <c r="B6" s="3" t="s">
        <v>9</v>
      </c>
      <c r="C6" s="10">
        <f>Inputs!C11</f>
        <v>0</v>
      </c>
    </row>
    <row r="7" spans="2:5">
      <c r="B7" s="3" t="s">
        <v>212</v>
      </c>
      <c r="C7" s="10">
        <f>Inputs!C12&amp;" MW / "&amp;Inputs!C14&amp;" MWh"</f>
        <v>0</v>
      </c>
    </row>
    <row r="8" spans="2:5">
      <c r="B8" s="3" t="s">
        <v>213</v>
      </c>
      <c r="C8" s="11">
        <f>Calculations!C9</f>
        <v>0</v>
      </c>
    </row>
    <row r="10" spans="2:5">
      <c r="B10" s="2" t="s">
        <v>214</v>
      </c>
      <c r="C10" s="2"/>
      <c r="D10" s="2"/>
      <c r="E10" s="2"/>
    </row>
    <row r="11" spans="2:5">
      <c r="B11" s="3" t="s">
        <v>215</v>
      </c>
      <c r="C11" s="12">
        <f>Cash_Flows!X27/Cash_Flows!W27</f>
        <v>0</v>
      </c>
      <c r="E11" s="5" t="s">
        <v>216</v>
      </c>
    </row>
    <row r="12" spans="2:5">
      <c r="B12" s="3" t="s">
        <v>217</v>
      </c>
      <c r="C12" s="11">
        <f>Cash_Flows!X27-Cash_Flows!W27</f>
        <v>0</v>
      </c>
      <c r="E12" s="5" t="s">
        <v>218</v>
      </c>
    </row>
    <row r="13" spans="2:5">
      <c r="B13" s="3" t="s">
        <v>219</v>
      </c>
      <c r="C13" s="13">
        <f>IRR(Cash_Flows!U5:U25)</f>
        <v>0</v>
      </c>
      <c r="E13" s="5" t="s">
        <v>202</v>
      </c>
    </row>
    <row r="14" spans="2:5">
      <c r="B14" s="3" t="s">
        <v>220</v>
      </c>
      <c r="C14" s="14">
        <f>MATCH(TRUE,INDEX(Cash_Flows!Y5:Y25&gt;0,0),0)-1</f>
        <v>0</v>
      </c>
      <c r="E14" s="5" t="s">
        <v>221</v>
      </c>
    </row>
    <row r="15" spans="2:5">
      <c r="B15" s="3" t="s">
        <v>222</v>
      </c>
      <c r="C15" s="15">
        <f>Cash_Flows!W27</f>
        <v>0</v>
      </c>
      <c r="E15" s="5" t="s">
        <v>223</v>
      </c>
    </row>
    <row r="16" spans="2:5">
      <c r="B16" s="3" t="s">
        <v>224</v>
      </c>
      <c r="C16" s="15">
        <f>Cash_Flows!X27</f>
        <v>0</v>
      </c>
      <c r="E16" s="5" t="s">
        <v>225</v>
      </c>
    </row>
    <row r="18" spans="2:5">
      <c r="B18" s="2" t="s">
        <v>226</v>
      </c>
      <c r="C18" s="2"/>
      <c r="D18" s="2"/>
      <c r="E18" s="2"/>
    </row>
    <row r="19" spans="2:5">
      <c r="B19" s="10">
        <f>IF(C11&gt;=1.5,"APPROVE - Strong economic case",IF(C11&gt;=1,"FURTHER STUDY - Marginal economics","REJECT - Costs exceed benefits"))</f>
        <v>0</v>
      </c>
      <c r="C19" s="10"/>
      <c r="D19" s="10"/>
      <c r="E19" s="10"/>
    </row>
    <row r="21" spans="2:5">
      <c r="B21" s="2" t="s">
        <v>227</v>
      </c>
      <c r="C21" s="2"/>
      <c r="D21" s="2"/>
      <c r="E21" s="2"/>
    </row>
    <row r="22" spans="2:5">
      <c r="B22" s="3" t="s">
        <v>228</v>
      </c>
      <c r="C22" s="11">
        <f>Cash_Flows!W27/(Calculations!C13*NPV(Inputs!C16,Cash_Flows!V5:V25))</f>
        <v>0</v>
      </c>
      <c r="E22" s="5" t="s">
        <v>229</v>
      </c>
    </row>
    <row r="24" spans="2:5">
      <c r="B24" s="2" t="s">
        <v>230</v>
      </c>
      <c r="C24" s="2"/>
      <c r="D24" s="2"/>
      <c r="E24" s="2"/>
    </row>
    <row r="25" spans="2:5">
      <c r="B25" s="3" t="s">
        <v>231</v>
      </c>
      <c r="C25" s="11">
        <f>(Cash_Flows!X27-(Cash_Flows!W27-Calculations!C11))/(Inputs!C14*1000)</f>
        <v>0</v>
      </c>
      <c r="E25" s="5" t="s">
        <v>232</v>
      </c>
    </row>
  </sheetData>
  <mergeCells count="7">
    <mergeCell ref="B2:E2"/>
    <mergeCell ref="B4:E4"/>
    <mergeCell ref="B10:E10"/>
    <mergeCell ref="B18:E18"/>
    <mergeCell ref="B19:E19"/>
    <mergeCell ref="B21:E21"/>
    <mergeCell ref="B24:E24"/>
  </mergeCells>
  <conditionalFormatting sqref="C11">
    <cfRule type="cellIs" dxfId="0" priority="1" operator="greaterThanOrEqual">
      <formula>1.5</formula>
    </cfRule>
    <cfRule type="cellIs" dxfId="1" priority="2" operator="between">
      <formula>1</formula>
      <formula>1.5</formula>
    </cfRule>
    <cfRule type="cellIs" dxfId="2" priority="3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Y27"/>
  <sheetViews>
    <sheetView workbookViewId="0"/>
  </sheetViews>
  <sheetFormatPr defaultRowHeight="15"/>
  <cols>
    <col min="1" max="1" width="5.7109375" customWidth="1"/>
    <col min="2" max="2" width="8.7109375" customWidth="1"/>
    <col min="3" max="25" width="14.7109375" customWidth="1"/>
  </cols>
  <sheetData>
    <row r="2" spans="2:25">
      <c r="B2" s="1" t="s">
        <v>144</v>
      </c>
    </row>
    <row r="4" spans="2:25">
      <c r="B4" s="9" t="s">
        <v>145</v>
      </c>
      <c r="C4" s="9" t="s">
        <v>146</v>
      </c>
      <c r="D4" s="9" t="s">
        <v>147</v>
      </c>
      <c r="E4" s="9" t="s">
        <v>148</v>
      </c>
      <c r="F4" s="9" t="s">
        <v>149</v>
      </c>
      <c r="G4" s="9" t="s">
        <v>150</v>
      </c>
      <c r="H4" s="9" t="s">
        <v>151</v>
      </c>
      <c r="I4" s="9" t="s">
        <v>152</v>
      </c>
      <c r="J4" s="9" t="s">
        <v>153</v>
      </c>
      <c r="K4" s="9" t="s">
        <v>154</v>
      </c>
      <c r="L4" s="9" t="s">
        <v>155</v>
      </c>
      <c r="M4" s="9" t="s">
        <v>156</v>
      </c>
      <c r="N4" s="9" t="s">
        <v>157</v>
      </c>
      <c r="O4" s="9" t="s">
        <v>158</v>
      </c>
      <c r="P4" s="9" t="s">
        <v>159</v>
      </c>
      <c r="Q4" s="9" t="s">
        <v>160</v>
      </c>
      <c r="R4" s="9" t="s">
        <v>161</v>
      </c>
      <c r="S4" s="9" t="s">
        <v>162</v>
      </c>
      <c r="T4" s="9" t="s">
        <v>163</v>
      </c>
      <c r="U4" s="9" t="s">
        <v>164</v>
      </c>
      <c r="V4" s="9" t="s">
        <v>165</v>
      </c>
      <c r="W4" s="9" t="s">
        <v>166</v>
      </c>
      <c r="X4" s="9" t="s">
        <v>167</v>
      </c>
      <c r="Y4" s="9" t="s">
        <v>168</v>
      </c>
    </row>
    <row r="5" spans="2:25">
      <c r="B5">
        <v>0</v>
      </c>
      <c r="C5" s="16">
        <f>Calculations!C11</f>
        <v>0</v>
      </c>
      <c r="D5" s="16">
        <f>0</f>
        <v>0</v>
      </c>
      <c r="E5" s="16">
        <f>0</f>
        <v>0</v>
      </c>
      <c r="F5" s="16">
        <f>0</f>
        <v>0</v>
      </c>
      <c r="G5" s="16">
        <f>0</f>
        <v>0</v>
      </c>
      <c r="H5" s="16">
        <f>0</f>
        <v>0</v>
      </c>
      <c r="I5" s="16">
        <f>0</f>
        <v>0</v>
      </c>
      <c r="J5" s="16">
        <f>0</f>
        <v>0</v>
      </c>
      <c r="K5" s="17">
        <f>SUM(C5:J5)</f>
        <v>0</v>
      </c>
      <c r="L5" s="16">
        <f>0</f>
        <v>0</v>
      </c>
      <c r="M5" s="16">
        <f>0</f>
        <v>0</v>
      </c>
      <c r="N5" s="16">
        <f>0</f>
        <v>0</v>
      </c>
      <c r="O5" s="16">
        <f>0</f>
        <v>0</v>
      </c>
      <c r="P5" s="16">
        <f>0</f>
        <v>0</v>
      </c>
      <c r="Q5" s="16">
        <f>0</f>
        <v>0</v>
      </c>
      <c r="R5" s="16">
        <f>0</f>
        <v>0</v>
      </c>
      <c r="S5" s="16">
        <f>0</f>
        <v>0</v>
      </c>
      <c r="T5" s="17">
        <f>SUM(L5:S5)</f>
        <v>0</v>
      </c>
      <c r="U5" s="17">
        <f>T5-K5</f>
        <v>0</v>
      </c>
      <c r="V5" s="18">
        <f>1/(1+Inputs!$C16)^B5</f>
        <v>0</v>
      </c>
      <c r="W5" s="16">
        <f>K5*V5</f>
        <v>0</v>
      </c>
      <c r="X5" s="16">
        <f>T5*V5</f>
        <v>0</v>
      </c>
      <c r="Y5" s="16">
        <f>U5</f>
        <v>0</v>
      </c>
    </row>
    <row r="6" spans="2:25">
      <c r="B6">
        <v>1</v>
      </c>
      <c r="C6" s="16">
        <f>0</f>
        <v>0</v>
      </c>
      <c r="D6" s="16">
        <f>Calculations!C12</f>
        <v>0</v>
      </c>
      <c r="E6" s="16">
        <f>Inputs!$C28*Calculations!$C$13</f>
        <v>0</v>
      </c>
      <c r="F6" s="16">
        <f>Calculations!C14</f>
        <v>0</v>
      </c>
      <c r="G6" s="16">
        <f>Calculations!C9*Inputs!$C40</f>
        <v>0</v>
      </c>
      <c r="H6" s="16">
        <f>Calculations!$C$9*(1-1/Inputs!$C15)*Inputs!$C41</f>
        <v>0</v>
      </c>
      <c r="I6" s="16">
        <f>IF(B6=Inputs!$C23,Inputs!$C29*Calculations!C6*(1-Inputs!$C61)^B6,0)</f>
        <v>0</v>
      </c>
      <c r="J6" s="16">
        <f>IF(B6=Inputs!$C15,Inputs!$C30*Calculations!C5-Calculations!C15,0)</f>
        <v>0</v>
      </c>
      <c r="K6" s="17">
        <f>SUM(C6:J6)</f>
        <v>0</v>
      </c>
      <c r="L6" s="16">
        <f>Inputs!$C$52*Inputs!$C12*1000*(1+Inputs!$D$52)^0*(1-Inputs!$C21)^0</f>
        <v>0</v>
      </c>
      <c r="M6" s="16">
        <f>Inputs!$C$53*Inputs!$C12*1000*(1+Inputs!$D$53)^0*(1-Inputs!$C21)^0</f>
        <v>0</v>
      </c>
      <c r="N6" s="16">
        <f>Inputs!$C$54*Inputs!$C12*1000*(1+Inputs!$D$54)^0*(1-Inputs!$C21)^0</f>
        <v>0</v>
      </c>
      <c r="O6" s="16">
        <f>Inputs!$C$55*Inputs!$C12*1000*(1+Inputs!$D$55)^0*(1-Inputs!$C21)^0</f>
        <v>0</v>
      </c>
      <c r="P6" s="16">
        <f>Inputs!$C$56*Inputs!$C12*1000*(1+Inputs!$D$56)^0*(1-Inputs!$C21)^0</f>
        <v>0</v>
      </c>
      <c r="Q6" s="16">
        <f>Inputs!$C$57*Inputs!$C12*1000*(1+Inputs!$D$57)^0*(1-Inputs!$C21)^0</f>
        <v>0</v>
      </c>
      <c r="R6" s="16">
        <f>Inputs!$C$58*Inputs!$C12*1000*(1+Inputs!$D$58)^0*(1-Inputs!$C21)^0</f>
        <v>0</v>
      </c>
      <c r="S6" s="16">
        <f>Inputs!$C$59*Inputs!$C12*1000*(1+Inputs!$D$59)^0*(1-Inputs!$C21)^0</f>
        <v>0</v>
      </c>
      <c r="T6" s="17">
        <f>SUM(L6:S6)</f>
        <v>0</v>
      </c>
      <c r="U6" s="17">
        <f>T6-K6</f>
        <v>0</v>
      </c>
      <c r="V6" s="18">
        <f>1/(1+Inputs!$C16)^B6</f>
        <v>0</v>
      </c>
      <c r="W6" s="16">
        <f>K6*V6</f>
        <v>0</v>
      </c>
      <c r="X6" s="16">
        <f>T6*V6</f>
        <v>0</v>
      </c>
      <c r="Y6" s="16">
        <f>Y5+U6</f>
        <v>0</v>
      </c>
    </row>
    <row r="7" spans="2:25">
      <c r="B7">
        <v>2</v>
      </c>
      <c r="C7" s="16">
        <f>0</f>
        <v>0</v>
      </c>
      <c r="D7" s="16">
        <f>Calculations!C12</f>
        <v>0</v>
      </c>
      <c r="E7" s="16">
        <f>Inputs!$C28*Calculations!$C$13</f>
        <v>0</v>
      </c>
      <c r="F7" s="16">
        <f>Calculations!C14</f>
        <v>0</v>
      </c>
      <c r="G7" s="16">
        <f>Calculations!C9*Inputs!$C40</f>
        <v>0</v>
      </c>
      <c r="H7" s="16">
        <f>Calculations!$C$9*(1-2/Inputs!$C15)*Inputs!$C41</f>
        <v>0</v>
      </c>
      <c r="I7" s="16">
        <f>IF(B7=Inputs!$C23,Inputs!$C29*Calculations!C6*(1-Inputs!$C61)^B7,0)</f>
        <v>0</v>
      </c>
      <c r="J7" s="16">
        <f>IF(B7=Inputs!$C15,Inputs!$C30*Calculations!C5-Calculations!C15,0)</f>
        <v>0</v>
      </c>
      <c r="K7" s="17">
        <f>SUM(C7:J7)</f>
        <v>0</v>
      </c>
      <c r="L7" s="16">
        <f>Inputs!$C$52*Inputs!$C12*1000*(1+Inputs!$D$52)^1*(1-Inputs!$C21)^1</f>
        <v>0</v>
      </c>
      <c r="M7" s="16">
        <f>Inputs!$C$53*Inputs!$C12*1000*(1+Inputs!$D$53)^1*(1-Inputs!$C21)^1</f>
        <v>0</v>
      </c>
      <c r="N7" s="16">
        <f>Inputs!$C$54*Inputs!$C12*1000*(1+Inputs!$D$54)^1*(1-Inputs!$C21)^1</f>
        <v>0</v>
      </c>
      <c r="O7" s="16">
        <f>Inputs!$C$55*Inputs!$C12*1000*(1+Inputs!$D$55)^1*(1-Inputs!$C21)^1</f>
        <v>0</v>
      </c>
      <c r="P7" s="16">
        <f>Inputs!$C$56*Inputs!$C12*1000*(1+Inputs!$D$56)^1*(1-Inputs!$C21)^1</f>
        <v>0</v>
      </c>
      <c r="Q7" s="16">
        <f>Inputs!$C$57*Inputs!$C12*1000*(1+Inputs!$D$57)^1*(1-Inputs!$C21)^1</f>
        <v>0</v>
      </c>
      <c r="R7" s="16">
        <f>Inputs!$C$58*Inputs!$C12*1000*(1+Inputs!$D$58)^1*(1-Inputs!$C21)^1</f>
        <v>0</v>
      </c>
      <c r="S7" s="16">
        <f>Inputs!$C$59*Inputs!$C12*1000*(1+Inputs!$D$59)^1*(1-Inputs!$C21)^1</f>
        <v>0</v>
      </c>
      <c r="T7" s="17">
        <f>SUM(L7:S7)</f>
        <v>0</v>
      </c>
      <c r="U7" s="17">
        <f>T7-K7</f>
        <v>0</v>
      </c>
      <c r="V7" s="18">
        <f>1/(1+Inputs!$C16)^B7</f>
        <v>0</v>
      </c>
      <c r="W7" s="16">
        <f>K7*V7</f>
        <v>0</v>
      </c>
      <c r="X7" s="16">
        <f>T7*V7</f>
        <v>0</v>
      </c>
      <c r="Y7" s="16">
        <f>Y6+U7</f>
        <v>0</v>
      </c>
    </row>
    <row r="8" spans="2:25">
      <c r="B8">
        <v>3</v>
      </c>
      <c r="C8" s="16">
        <f>0</f>
        <v>0</v>
      </c>
      <c r="D8" s="16">
        <f>Calculations!C12</f>
        <v>0</v>
      </c>
      <c r="E8" s="16">
        <f>Inputs!$C28*Calculations!$C$13</f>
        <v>0</v>
      </c>
      <c r="F8" s="16">
        <f>Calculations!C14</f>
        <v>0</v>
      </c>
      <c r="G8" s="16">
        <f>Calculations!C9*Inputs!$C40</f>
        <v>0</v>
      </c>
      <c r="H8" s="16">
        <f>Calculations!$C$9*(1-3/Inputs!$C15)*Inputs!$C41</f>
        <v>0</v>
      </c>
      <c r="I8" s="16">
        <f>IF(B8=Inputs!$C23,Inputs!$C29*Calculations!C6*(1-Inputs!$C61)^B8,0)</f>
        <v>0</v>
      </c>
      <c r="J8" s="16">
        <f>IF(B8=Inputs!$C15,Inputs!$C30*Calculations!C5-Calculations!C15,0)</f>
        <v>0</v>
      </c>
      <c r="K8" s="17">
        <f>SUM(C8:J8)</f>
        <v>0</v>
      </c>
      <c r="L8" s="16">
        <f>Inputs!$C$52*Inputs!$C12*1000*(1+Inputs!$D$52)^2*(1-Inputs!$C21)^2</f>
        <v>0</v>
      </c>
      <c r="M8" s="16">
        <f>Inputs!$C$53*Inputs!$C12*1000*(1+Inputs!$D$53)^2*(1-Inputs!$C21)^2</f>
        <v>0</v>
      </c>
      <c r="N8" s="16">
        <f>Inputs!$C$54*Inputs!$C12*1000*(1+Inputs!$D$54)^2*(1-Inputs!$C21)^2</f>
        <v>0</v>
      </c>
      <c r="O8" s="16">
        <f>Inputs!$C$55*Inputs!$C12*1000*(1+Inputs!$D$55)^2*(1-Inputs!$C21)^2</f>
        <v>0</v>
      </c>
      <c r="P8" s="16">
        <f>Inputs!$C$56*Inputs!$C12*1000*(1+Inputs!$D$56)^2*(1-Inputs!$C21)^2</f>
        <v>0</v>
      </c>
      <c r="Q8" s="16">
        <f>Inputs!$C$57*Inputs!$C12*1000*(1+Inputs!$D$57)^2*(1-Inputs!$C21)^2</f>
        <v>0</v>
      </c>
      <c r="R8" s="16">
        <f>Inputs!$C$58*Inputs!$C12*1000*(1+Inputs!$D$58)^2*(1-Inputs!$C21)^2</f>
        <v>0</v>
      </c>
      <c r="S8" s="16">
        <f>Inputs!$C$59*Inputs!$C12*1000*(1+Inputs!$D$59)^2*(1-Inputs!$C21)^2</f>
        <v>0</v>
      </c>
      <c r="T8" s="17">
        <f>SUM(L8:S8)</f>
        <v>0</v>
      </c>
      <c r="U8" s="17">
        <f>T8-K8</f>
        <v>0</v>
      </c>
      <c r="V8" s="18">
        <f>1/(1+Inputs!$C16)^B8</f>
        <v>0</v>
      </c>
      <c r="W8" s="16">
        <f>K8*V8</f>
        <v>0</v>
      </c>
      <c r="X8" s="16">
        <f>T8*V8</f>
        <v>0</v>
      </c>
      <c r="Y8" s="16">
        <f>Y7+U8</f>
        <v>0</v>
      </c>
    </row>
    <row r="9" spans="2:25">
      <c r="B9">
        <v>4</v>
      </c>
      <c r="C9" s="16">
        <f>0</f>
        <v>0</v>
      </c>
      <c r="D9" s="16">
        <f>Calculations!C12</f>
        <v>0</v>
      </c>
      <c r="E9" s="16">
        <f>Inputs!$C28*Calculations!$C$13</f>
        <v>0</v>
      </c>
      <c r="F9" s="16">
        <f>Calculations!C14</f>
        <v>0</v>
      </c>
      <c r="G9" s="16">
        <f>Calculations!C9*Inputs!$C40</f>
        <v>0</v>
      </c>
      <c r="H9" s="16">
        <f>Calculations!$C$9*(1-4/Inputs!$C15)*Inputs!$C41</f>
        <v>0</v>
      </c>
      <c r="I9" s="16">
        <f>IF(B9=Inputs!$C23,Inputs!$C29*Calculations!C6*(1-Inputs!$C61)^B9,0)</f>
        <v>0</v>
      </c>
      <c r="J9" s="16">
        <f>IF(B9=Inputs!$C15,Inputs!$C30*Calculations!C5-Calculations!C15,0)</f>
        <v>0</v>
      </c>
      <c r="K9" s="17">
        <f>SUM(C9:J9)</f>
        <v>0</v>
      </c>
      <c r="L9" s="16">
        <f>Inputs!$C$52*Inputs!$C12*1000*(1+Inputs!$D$52)^3*(1-Inputs!$C21)^3</f>
        <v>0</v>
      </c>
      <c r="M9" s="16">
        <f>Inputs!$C$53*Inputs!$C12*1000*(1+Inputs!$D$53)^3*(1-Inputs!$C21)^3</f>
        <v>0</v>
      </c>
      <c r="N9" s="16">
        <f>Inputs!$C$54*Inputs!$C12*1000*(1+Inputs!$D$54)^3*(1-Inputs!$C21)^3</f>
        <v>0</v>
      </c>
      <c r="O9" s="16">
        <f>Inputs!$C$55*Inputs!$C12*1000*(1+Inputs!$D$55)^3*(1-Inputs!$C21)^3</f>
        <v>0</v>
      </c>
      <c r="P9" s="16">
        <f>Inputs!$C$56*Inputs!$C12*1000*(1+Inputs!$D$56)^3*(1-Inputs!$C21)^3</f>
        <v>0</v>
      </c>
      <c r="Q9" s="16">
        <f>Inputs!$C$57*Inputs!$C12*1000*(1+Inputs!$D$57)^3*(1-Inputs!$C21)^3</f>
        <v>0</v>
      </c>
      <c r="R9" s="16">
        <f>Inputs!$C$58*Inputs!$C12*1000*(1+Inputs!$D$58)^3*(1-Inputs!$C21)^3</f>
        <v>0</v>
      </c>
      <c r="S9" s="16">
        <f>Inputs!$C$59*Inputs!$C12*1000*(1+Inputs!$D$59)^3*(1-Inputs!$C21)^3</f>
        <v>0</v>
      </c>
      <c r="T9" s="17">
        <f>SUM(L9:S9)</f>
        <v>0</v>
      </c>
      <c r="U9" s="17">
        <f>T9-K9</f>
        <v>0</v>
      </c>
      <c r="V9" s="18">
        <f>1/(1+Inputs!$C16)^B9</f>
        <v>0</v>
      </c>
      <c r="W9" s="16">
        <f>K9*V9</f>
        <v>0</v>
      </c>
      <c r="X9" s="16">
        <f>T9*V9</f>
        <v>0</v>
      </c>
      <c r="Y9" s="16">
        <f>Y8+U9</f>
        <v>0</v>
      </c>
    </row>
    <row r="10" spans="2:25">
      <c r="B10">
        <v>5</v>
      </c>
      <c r="C10" s="16">
        <f>0</f>
        <v>0</v>
      </c>
      <c r="D10" s="16">
        <f>Calculations!C12</f>
        <v>0</v>
      </c>
      <c r="E10" s="16">
        <f>Inputs!$C28*Calculations!$C$13</f>
        <v>0</v>
      </c>
      <c r="F10" s="16">
        <f>Calculations!C14</f>
        <v>0</v>
      </c>
      <c r="G10" s="16">
        <f>Calculations!C9*Inputs!$C40</f>
        <v>0</v>
      </c>
      <c r="H10" s="16">
        <f>Calculations!$C$9*(1-5/Inputs!$C15)*Inputs!$C41</f>
        <v>0</v>
      </c>
      <c r="I10" s="16">
        <f>IF(B10=Inputs!$C23,Inputs!$C29*Calculations!C6*(1-Inputs!$C61)^B10,0)</f>
        <v>0</v>
      </c>
      <c r="J10" s="16">
        <f>IF(B10=Inputs!$C15,Inputs!$C30*Calculations!C5-Calculations!C15,0)</f>
        <v>0</v>
      </c>
      <c r="K10" s="17">
        <f>SUM(C10:J10)</f>
        <v>0</v>
      </c>
      <c r="L10" s="16">
        <f>Inputs!$C$52*Inputs!$C12*1000*(1+Inputs!$D$52)^4*(1-Inputs!$C21)^4</f>
        <v>0</v>
      </c>
      <c r="M10" s="16">
        <f>Inputs!$C$53*Inputs!$C12*1000*(1+Inputs!$D$53)^4*(1-Inputs!$C21)^4</f>
        <v>0</v>
      </c>
      <c r="N10" s="16">
        <f>Inputs!$C$54*Inputs!$C12*1000*(1+Inputs!$D$54)^4*(1-Inputs!$C21)^4</f>
        <v>0</v>
      </c>
      <c r="O10" s="16">
        <f>Inputs!$C$55*Inputs!$C12*1000*(1+Inputs!$D$55)^4*(1-Inputs!$C21)^4</f>
        <v>0</v>
      </c>
      <c r="P10" s="16">
        <f>Inputs!$C$56*Inputs!$C12*1000*(1+Inputs!$D$56)^4*(1-Inputs!$C21)^4</f>
        <v>0</v>
      </c>
      <c r="Q10" s="16">
        <f>Inputs!$C$57*Inputs!$C12*1000*(1+Inputs!$D$57)^4*(1-Inputs!$C21)^4</f>
        <v>0</v>
      </c>
      <c r="R10" s="16">
        <f>Inputs!$C$58*Inputs!$C12*1000*(1+Inputs!$D$58)^4*(1-Inputs!$C21)^4</f>
        <v>0</v>
      </c>
      <c r="S10" s="16">
        <f>Inputs!$C$59*Inputs!$C12*1000*(1+Inputs!$D$59)^4*(1-Inputs!$C21)^4</f>
        <v>0</v>
      </c>
      <c r="T10" s="17">
        <f>SUM(L10:S10)</f>
        <v>0</v>
      </c>
      <c r="U10" s="17">
        <f>T10-K10</f>
        <v>0</v>
      </c>
      <c r="V10" s="18">
        <f>1/(1+Inputs!$C16)^B10</f>
        <v>0</v>
      </c>
      <c r="W10" s="16">
        <f>K10*V10</f>
        <v>0</v>
      </c>
      <c r="X10" s="16">
        <f>T10*V10</f>
        <v>0</v>
      </c>
      <c r="Y10" s="16">
        <f>Y9+U10</f>
        <v>0</v>
      </c>
    </row>
    <row r="11" spans="2:25">
      <c r="B11">
        <v>6</v>
      </c>
      <c r="C11" s="16">
        <f>0</f>
        <v>0</v>
      </c>
      <c r="D11" s="16">
        <f>Calculations!C12</f>
        <v>0</v>
      </c>
      <c r="E11" s="16">
        <f>Inputs!$C28*Calculations!$C$13</f>
        <v>0</v>
      </c>
      <c r="F11" s="16">
        <f>Calculations!C14</f>
        <v>0</v>
      </c>
      <c r="G11" s="16">
        <f>Calculations!C9*Inputs!$C40</f>
        <v>0</v>
      </c>
      <c r="H11" s="16">
        <f>Calculations!$C$9*(1-6/Inputs!$C15)*Inputs!$C41</f>
        <v>0</v>
      </c>
      <c r="I11" s="16">
        <f>IF(B11=Inputs!$C23,Inputs!$C29*Calculations!C6*(1-Inputs!$C61)^B11,0)</f>
        <v>0</v>
      </c>
      <c r="J11" s="16">
        <f>IF(B11=Inputs!$C15,Inputs!$C30*Calculations!C5-Calculations!C15,0)</f>
        <v>0</v>
      </c>
      <c r="K11" s="17">
        <f>SUM(C11:J11)</f>
        <v>0</v>
      </c>
      <c r="L11" s="16">
        <f>Inputs!$C$52*Inputs!$C12*1000*(1+Inputs!$D$52)^5*(1-Inputs!$C21)^5</f>
        <v>0</v>
      </c>
      <c r="M11" s="16">
        <f>Inputs!$C$53*Inputs!$C12*1000*(1+Inputs!$D$53)^5*(1-Inputs!$C21)^5</f>
        <v>0</v>
      </c>
      <c r="N11" s="16">
        <f>Inputs!$C$54*Inputs!$C12*1000*(1+Inputs!$D$54)^5*(1-Inputs!$C21)^5</f>
        <v>0</v>
      </c>
      <c r="O11" s="16">
        <f>Inputs!$C$55*Inputs!$C12*1000*(1+Inputs!$D$55)^5*(1-Inputs!$C21)^5</f>
        <v>0</v>
      </c>
      <c r="P11" s="16">
        <f>Inputs!$C$56*Inputs!$C12*1000*(1+Inputs!$D$56)^5*(1-Inputs!$C21)^5</f>
        <v>0</v>
      </c>
      <c r="Q11" s="16">
        <f>Inputs!$C$57*Inputs!$C12*1000*(1+Inputs!$D$57)^5*(1-Inputs!$C21)^5</f>
        <v>0</v>
      </c>
      <c r="R11" s="16">
        <f>Inputs!$C$58*Inputs!$C12*1000*(1+Inputs!$D$58)^5*(1-Inputs!$C21)^5</f>
        <v>0</v>
      </c>
      <c r="S11" s="16">
        <f>Inputs!$C$59*Inputs!$C12*1000*(1+Inputs!$D$59)^5*(1-Inputs!$C21)^5</f>
        <v>0</v>
      </c>
      <c r="T11" s="17">
        <f>SUM(L11:S11)</f>
        <v>0</v>
      </c>
      <c r="U11" s="17">
        <f>T11-K11</f>
        <v>0</v>
      </c>
      <c r="V11" s="18">
        <f>1/(1+Inputs!$C16)^B11</f>
        <v>0</v>
      </c>
      <c r="W11" s="16">
        <f>K11*V11</f>
        <v>0</v>
      </c>
      <c r="X11" s="16">
        <f>T11*V11</f>
        <v>0</v>
      </c>
      <c r="Y11" s="16">
        <f>Y10+U11</f>
        <v>0</v>
      </c>
    </row>
    <row r="12" spans="2:25">
      <c r="B12">
        <v>7</v>
      </c>
      <c r="C12" s="16">
        <f>0</f>
        <v>0</v>
      </c>
      <c r="D12" s="16">
        <f>Calculations!C12</f>
        <v>0</v>
      </c>
      <c r="E12" s="16">
        <f>Inputs!$C28*Calculations!$C$13</f>
        <v>0</v>
      </c>
      <c r="F12" s="16">
        <f>Calculations!C14</f>
        <v>0</v>
      </c>
      <c r="G12" s="16">
        <f>Calculations!C9*Inputs!$C40</f>
        <v>0</v>
      </c>
      <c r="H12" s="16">
        <f>Calculations!$C$9*(1-7/Inputs!$C15)*Inputs!$C41</f>
        <v>0</v>
      </c>
      <c r="I12" s="16">
        <f>IF(B12=Inputs!$C23,Inputs!$C29*Calculations!C6*(1-Inputs!$C61)^B12,0)</f>
        <v>0</v>
      </c>
      <c r="J12" s="16">
        <f>IF(B12=Inputs!$C15,Inputs!$C30*Calculations!C5-Calculations!C15,0)</f>
        <v>0</v>
      </c>
      <c r="K12" s="17">
        <f>SUM(C12:J12)</f>
        <v>0</v>
      </c>
      <c r="L12" s="16">
        <f>Inputs!$C$52*Inputs!$C12*1000*(1+Inputs!$D$52)^6*(1-Inputs!$C21)^6</f>
        <v>0</v>
      </c>
      <c r="M12" s="16">
        <f>Inputs!$C$53*Inputs!$C12*1000*(1+Inputs!$D$53)^6*(1-Inputs!$C21)^6</f>
        <v>0</v>
      </c>
      <c r="N12" s="16">
        <f>Inputs!$C$54*Inputs!$C12*1000*(1+Inputs!$D$54)^6*(1-Inputs!$C21)^6</f>
        <v>0</v>
      </c>
      <c r="O12" s="16">
        <f>Inputs!$C$55*Inputs!$C12*1000*(1+Inputs!$D$55)^6*(1-Inputs!$C21)^6</f>
        <v>0</v>
      </c>
      <c r="P12" s="16">
        <f>Inputs!$C$56*Inputs!$C12*1000*(1+Inputs!$D$56)^6*(1-Inputs!$C21)^6</f>
        <v>0</v>
      </c>
      <c r="Q12" s="16">
        <f>Inputs!$C$57*Inputs!$C12*1000*(1+Inputs!$D$57)^6*(1-Inputs!$C21)^6</f>
        <v>0</v>
      </c>
      <c r="R12" s="16">
        <f>Inputs!$C$58*Inputs!$C12*1000*(1+Inputs!$D$58)^6*(1-Inputs!$C21)^6</f>
        <v>0</v>
      </c>
      <c r="S12" s="16">
        <f>Inputs!$C$59*Inputs!$C12*1000*(1+Inputs!$D$59)^6*(1-Inputs!$C21)^6</f>
        <v>0</v>
      </c>
      <c r="T12" s="17">
        <f>SUM(L12:S12)</f>
        <v>0</v>
      </c>
      <c r="U12" s="17">
        <f>T12-K12</f>
        <v>0</v>
      </c>
      <c r="V12" s="18">
        <f>1/(1+Inputs!$C16)^B12</f>
        <v>0</v>
      </c>
      <c r="W12" s="16">
        <f>K12*V12</f>
        <v>0</v>
      </c>
      <c r="X12" s="16">
        <f>T12*V12</f>
        <v>0</v>
      </c>
      <c r="Y12" s="16">
        <f>Y11+U12</f>
        <v>0</v>
      </c>
    </row>
    <row r="13" spans="2:25">
      <c r="B13">
        <v>8</v>
      </c>
      <c r="C13" s="16">
        <f>0</f>
        <v>0</v>
      </c>
      <c r="D13" s="16">
        <f>Calculations!C12</f>
        <v>0</v>
      </c>
      <c r="E13" s="16">
        <f>Inputs!$C28*Calculations!$C$13</f>
        <v>0</v>
      </c>
      <c r="F13" s="16">
        <f>Calculations!C14</f>
        <v>0</v>
      </c>
      <c r="G13" s="16">
        <f>Calculations!C9*Inputs!$C40</f>
        <v>0</v>
      </c>
      <c r="H13" s="16">
        <f>Calculations!$C$9*(1-8/Inputs!$C15)*Inputs!$C41</f>
        <v>0</v>
      </c>
      <c r="I13" s="16">
        <f>IF(B13=Inputs!$C23,Inputs!$C29*Calculations!C6*(1-Inputs!$C61)^B13,0)</f>
        <v>0</v>
      </c>
      <c r="J13" s="16">
        <f>IF(B13=Inputs!$C15,Inputs!$C30*Calculations!C5-Calculations!C15,0)</f>
        <v>0</v>
      </c>
      <c r="K13" s="17">
        <f>SUM(C13:J13)</f>
        <v>0</v>
      </c>
      <c r="L13" s="16">
        <f>Inputs!$C$52*Inputs!$C12*1000*(1+Inputs!$D$52)^7*(1-Inputs!$C21)^7</f>
        <v>0</v>
      </c>
      <c r="M13" s="16">
        <f>Inputs!$C$53*Inputs!$C12*1000*(1+Inputs!$D$53)^7*(1-Inputs!$C21)^7</f>
        <v>0</v>
      </c>
      <c r="N13" s="16">
        <f>Inputs!$C$54*Inputs!$C12*1000*(1+Inputs!$D$54)^7*(1-Inputs!$C21)^7</f>
        <v>0</v>
      </c>
      <c r="O13" s="16">
        <f>Inputs!$C$55*Inputs!$C12*1000*(1+Inputs!$D$55)^7*(1-Inputs!$C21)^7</f>
        <v>0</v>
      </c>
      <c r="P13" s="16">
        <f>Inputs!$C$56*Inputs!$C12*1000*(1+Inputs!$D$56)^7*(1-Inputs!$C21)^7</f>
        <v>0</v>
      </c>
      <c r="Q13" s="16">
        <f>Inputs!$C$57*Inputs!$C12*1000*(1+Inputs!$D$57)^7*(1-Inputs!$C21)^7</f>
        <v>0</v>
      </c>
      <c r="R13" s="16">
        <f>Inputs!$C$58*Inputs!$C12*1000*(1+Inputs!$D$58)^7*(1-Inputs!$C21)^7</f>
        <v>0</v>
      </c>
      <c r="S13" s="16">
        <f>Inputs!$C$59*Inputs!$C12*1000*(1+Inputs!$D$59)^7*(1-Inputs!$C21)^7</f>
        <v>0</v>
      </c>
      <c r="T13" s="17">
        <f>SUM(L13:S13)</f>
        <v>0</v>
      </c>
      <c r="U13" s="17">
        <f>T13-K13</f>
        <v>0</v>
      </c>
      <c r="V13" s="18">
        <f>1/(1+Inputs!$C16)^B13</f>
        <v>0</v>
      </c>
      <c r="W13" s="16">
        <f>K13*V13</f>
        <v>0</v>
      </c>
      <c r="X13" s="16">
        <f>T13*V13</f>
        <v>0</v>
      </c>
      <c r="Y13" s="16">
        <f>Y12+U13</f>
        <v>0</v>
      </c>
    </row>
    <row r="14" spans="2:25">
      <c r="B14">
        <v>9</v>
      </c>
      <c r="C14" s="16">
        <f>0</f>
        <v>0</v>
      </c>
      <c r="D14" s="16">
        <f>Calculations!C12</f>
        <v>0</v>
      </c>
      <c r="E14" s="16">
        <f>Inputs!$C28*Calculations!$C$13</f>
        <v>0</v>
      </c>
      <c r="F14" s="16">
        <f>Calculations!C14</f>
        <v>0</v>
      </c>
      <c r="G14" s="16">
        <f>Calculations!C9*Inputs!$C40</f>
        <v>0</v>
      </c>
      <c r="H14" s="16">
        <f>Calculations!$C$9*(1-9/Inputs!$C15)*Inputs!$C41</f>
        <v>0</v>
      </c>
      <c r="I14" s="16">
        <f>IF(B14=Inputs!$C23,Inputs!$C29*Calculations!C6*(1-Inputs!$C61)^B14,0)</f>
        <v>0</v>
      </c>
      <c r="J14" s="16">
        <f>IF(B14=Inputs!$C15,Inputs!$C30*Calculations!C5-Calculations!C15,0)</f>
        <v>0</v>
      </c>
      <c r="K14" s="17">
        <f>SUM(C14:J14)</f>
        <v>0</v>
      </c>
      <c r="L14" s="16">
        <f>Inputs!$C$52*Inputs!$C12*1000*(1+Inputs!$D$52)^8*(1-Inputs!$C21)^8</f>
        <v>0</v>
      </c>
      <c r="M14" s="16">
        <f>Inputs!$C$53*Inputs!$C12*1000*(1+Inputs!$D$53)^8*(1-Inputs!$C21)^8</f>
        <v>0</v>
      </c>
      <c r="N14" s="16">
        <f>Inputs!$C$54*Inputs!$C12*1000*(1+Inputs!$D$54)^8*(1-Inputs!$C21)^8</f>
        <v>0</v>
      </c>
      <c r="O14" s="16">
        <f>Inputs!$C$55*Inputs!$C12*1000*(1+Inputs!$D$55)^8*(1-Inputs!$C21)^8</f>
        <v>0</v>
      </c>
      <c r="P14" s="16">
        <f>Inputs!$C$56*Inputs!$C12*1000*(1+Inputs!$D$56)^8*(1-Inputs!$C21)^8</f>
        <v>0</v>
      </c>
      <c r="Q14" s="16">
        <f>Inputs!$C$57*Inputs!$C12*1000*(1+Inputs!$D$57)^8*(1-Inputs!$C21)^8</f>
        <v>0</v>
      </c>
      <c r="R14" s="16">
        <f>Inputs!$C$58*Inputs!$C12*1000*(1+Inputs!$D$58)^8*(1-Inputs!$C21)^8</f>
        <v>0</v>
      </c>
      <c r="S14" s="16">
        <f>Inputs!$C$59*Inputs!$C12*1000*(1+Inputs!$D$59)^8*(1-Inputs!$C21)^8</f>
        <v>0</v>
      </c>
      <c r="T14" s="17">
        <f>SUM(L14:S14)</f>
        <v>0</v>
      </c>
      <c r="U14" s="17">
        <f>T14-K14</f>
        <v>0</v>
      </c>
      <c r="V14" s="18">
        <f>1/(1+Inputs!$C16)^B14</f>
        <v>0</v>
      </c>
      <c r="W14" s="16">
        <f>K14*V14</f>
        <v>0</v>
      </c>
      <c r="X14" s="16">
        <f>T14*V14</f>
        <v>0</v>
      </c>
      <c r="Y14" s="16">
        <f>Y13+U14</f>
        <v>0</v>
      </c>
    </row>
    <row r="15" spans="2:25">
      <c r="B15">
        <v>10</v>
      </c>
      <c r="C15" s="16">
        <f>0</f>
        <v>0</v>
      </c>
      <c r="D15" s="16">
        <f>Calculations!C12</f>
        <v>0</v>
      </c>
      <c r="E15" s="16">
        <f>Inputs!$C28*Calculations!$C$13</f>
        <v>0</v>
      </c>
      <c r="F15" s="16">
        <f>Calculations!C14</f>
        <v>0</v>
      </c>
      <c r="G15" s="16">
        <f>Calculations!C9*Inputs!$C40</f>
        <v>0</v>
      </c>
      <c r="H15" s="16">
        <f>Calculations!$C$9*(1-10/Inputs!$C15)*Inputs!$C41</f>
        <v>0</v>
      </c>
      <c r="I15" s="16">
        <f>IF(B15=Inputs!$C23,Inputs!$C29*Calculations!C6*(1-Inputs!$C61)^B15,0)</f>
        <v>0</v>
      </c>
      <c r="J15" s="16">
        <f>IF(B15=Inputs!$C15,Inputs!$C30*Calculations!C5-Calculations!C15,0)</f>
        <v>0</v>
      </c>
      <c r="K15" s="17">
        <f>SUM(C15:J15)</f>
        <v>0</v>
      </c>
      <c r="L15" s="16">
        <f>Inputs!$C$52*Inputs!$C12*1000*(1+Inputs!$D$52)^9*(1-Inputs!$C21)^9</f>
        <v>0</v>
      </c>
      <c r="M15" s="16">
        <f>Inputs!$C$53*Inputs!$C12*1000*(1+Inputs!$D$53)^9*(1-Inputs!$C21)^9</f>
        <v>0</v>
      </c>
      <c r="N15" s="16">
        <f>Inputs!$C$54*Inputs!$C12*1000*(1+Inputs!$D$54)^9*(1-Inputs!$C21)^9</f>
        <v>0</v>
      </c>
      <c r="O15" s="16">
        <f>Inputs!$C$55*Inputs!$C12*1000*(1+Inputs!$D$55)^9*(1-Inputs!$C21)^9</f>
        <v>0</v>
      </c>
      <c r="P15" s="16">
        <f>Inputs!$C$56*Inputs!$C12*1000*(1+Inputs!$D$56)^9*(1-Inputs!$C21)^9</f>
        <v>0</v>
      </c>
      <c r="Q15" s="16">
        <f>Inputs!$C$57*Inputs!$C12*1000*(1+Inputs!$D$57)^9*(1-Inputs!$C21)^9</f>
        <v>0</v>
      </c>
      <c r="R15" s="16">
        <f>Inputs!$C$58*Inputs!$C12*1000*(1+Inputs!$D$58)^9*(1-Inputs!$C21)^9</f>
        <v>0</v>
      </c>
      <c r="S15" s="16">
        <f>Inputs!$C$59*Inputs!$C12*1000*(1+Inputs!$D$59)^9*(1-Inputs!$C21)^9</f>
        <v>0</v>
      </c>
      <c r="T15" s="17">
        <f>SUM(L15:S15)</f>
        <v>0</v>
      </c>
      <c r="U15" s="17">
        <f>T15-K15</f>
        <v>0</v>
      </c>
      <c r="V15" s="18">
        <f>1/(1+Inputs!$C16)^B15</f>
        <v>0</v>
      </c>
      <c r="W15" s="16">
        <f>K15*V15</f>
        <v>0</v>
      </c>
      <c r="X15" s="16">
        <f>T15*V15</f>
        <v>0</v>
      </c>
      <c r="Y15" s="16">
        <f>Y14+U15</f>
        <v>0</v>
      </c>
    </row>
    <row r="16" spans="2:25">
      <c r="B16">
        <v>11</v>
      </c>
      <c r="C16" s="16">
        <f>0</f>
        <v>0</v>
      </c>
      <c r="D16" s="16">
        <f>Calculations!C12</f>
        <v>0</v>
      </c>
      <c r="E16" s="16">
        <f>Inputs!$C28*Calculations!$C$13</f>
        <v>0</v>
      </c>
      <c r="F16" s="16">
        <f>Calculations!C14</f>
        <v>0</v>
      </c>
      <c r="G16" s="16">
        <f>Calculations!C9*Inputs!$C40</f>
        <v>0</v>
      </c>
      <c r="H16" s="16">
        <f>Calculations!$C$9*(1-11/Inputs!$C15)*Inputs!$C41</f>
        <v>0</v>
      </c>
      <c r="I16" s="16">
        <f>IF(B16=Inputs!$C23,Inputs!$C29*Calculations!C6*(1-Inputs!$C61)^B16,0)</f>
        <v>0</v>
      </c>
      <c r="J16" s="16">
        <f>IF(B16=Inputs!$C15,Inputs!$C30*Calculations!C5-Calculations!C15,0)</f>
        <v>0</v>
      </c>
      <c r="K16" s="17">
        <f>SUM(C16:J16)</f>
        <v>0</v>
      </c>
      <c r="L16" s="16">
        <f>Inputs!$C$52*Inputs!$C12*1000*(1+Inputs!$D$52)^10*(1-Inputs!$C21)^10</f>
        <v>0</v>
      </c>
      <c r="M16" s="16">
        <f>Inputs!$C$53*Inputs!$C12*1000*(1+Inputs!$D$53)^10*(1-Inputs!$C21)^10</f>
        <v>0</v>
      </c>
      <c r="N16" s="16">
        <f>Inputs!$C$54*Inputs!$C12*1000*(1+Inputs!$D$54)^10*(1-Inputs!$C21)^10</f>
        <v>0</v>
      </c>
      <c r="O16" s="16">
        <f>Inputs!$C$55*Inputs!$C12*1000*(1+Inputs!$D$55)^10*(1-Inputs!$C21)^10</f>
        <v>0</v>
      </c>
      <c r="P16" s="16">
        <f>Inputs!$C$56*Inputs!$C12*1000*(1+Inputs!$D$56)^10*(1-Inputs!$C21)^10</f>
        <v>0</v>
      </c>
      <c r="Q16" s="16">
        <f>Inputs!$C$57*Inputs!$C12*1000*(1+Inputs!$D$57)^10*(1-Inputs!$C21)^10</f>
        <v>0</v>
      </c>
      <c r="R16" s="16">
        <f>Inputs!$C$58*Inputs!$C12*1000*(1+Inputs!$D$58)^10*(1-Inputs!$C21)^10</f>
        <v>0</v>
      </c>
      <c r="S16" s="16">
        <f>Inputs!$C$59*Inputs!$C12*1000*(1+Inputs!$D$59)^10*(1-Inputs!$C21)^10</f>
        <v>0</v>
      </c>
      <c r="T16" s="17">
        <f>SUM(L16:S16)</f>
        <v>0</v>
      </c>
      <c r="U16" s="17">
        <f>T16-K16</f>
        <v>0</v>
      </c>
      <c r="V16" s="18">
        <f>1/(1+Inputs!$C16)^B16</f>
        <v>0</v>
      </c>
      <c r="W16" s="16">
        <f>K16*V16</f>
        <v>0</v>
      </c>
      <c r="X16" s="16">
        <f>T16*V16</f>
        <v>0</v>
      </c>
      <c r="Y16" s="16">
        <f>Y15+U16</f>
        <v>0</v>
      </c>
    </row>
    <row r="17" spans="2:25">
      <c r="B17">
        <v>12</v>
      </c>
      <c r="C17" s="16">
        <f>0</f>
        <v>0</v>
      </c>
      <c r="D17" s="16">
        <f>Calculations!C12</f>
        <v>0</v>
      </c>
      <c r="E17" s="16">
        <f>Inputs!$C28*Calculations!$C$13</f>
        <v>0</v>
      </c>
      <c r="F17" s="16">
        <f>Calculations!C14</f>
        <v>0</v>
      </c>
      <c r="G17" s="16">
        <f>Calculations!C9*Inputs!$C40</f>
        <v>0</v>
      </c>
      <c r="H17" s="16">
        <f>Calculations!$C$9*(1-12/Inputs!$C15)*Inputs!$C41</f>
        <v>0</v>
      </c>
      <c r="I17" s="16">
        <f>IF(B17=Inputs!$C23,Inputs!$C29*Calculations!C6*(1-Inputs!$C61)^B17,0)</f>
        <v>0</v>
      </c>
      <c r="J17" s="16">
        <f>IF(B17=Inputs!$C15,Inputs!$C30*Calculations!C5-Calculations!C15,0)</f>
        <v>0</v>
      </c>
      <c r="K17" s="17">
        <f>SUM(C17:J17)</f>
        <v>0</v>
      </c>
      <c r="L17" s="16">
        <f>Inputs!$C$52*Inputs!$C12*1000*(1+Inputs!$D$52)^11*(1-Inputs!$C21)^11</f>
        <v>0</v>
      </c>
      <c r="M17" s="16">
        <f>Inputs!$C$53*Inputs!$C12*1000*(1+Inputs!$D$53)^11*(1-Inputs!$C21)^11</f>
        <v>0</v>
      </c>
      <c r="N17" s="16">
        <f>Inputs!$C$54*Inputs!$C12*1000*(1+Inputs!$D$54)^11*(1-Inputs!$C21)^11</f>
        <v>0</v>
      </c>
      <c r="O17" s="16">
        <f>Inputs!$C$55*Inputs!$C12*1000*(1+Inputs!$D$55)^11*(1-Inputs!$C21)^11</f>
        <v>0</v>
      </c>
      <c r="P17" s="16">
        <f>Inputs!$C$56*Inputs!$C12*1000*(1+Inputs!$D$56)^11*(1-Inputs!$C21)^11</f>
        <v>0</v>
      </c>
      <c r="Q17" s="16">
        <f>Inputs!$C$57*Inputs!$C12*1000*(1+Inputs!$D$57)^11*(1-Inputs!$C21)^11</f>
        <v>0</v>
      </c>
      <c r="R17" s="16">
        <f>Inputs!$C$58*Inputs!$C12*1000*(1+Inputs!$D$58)^11*(1-Inputs!$C21)^11</f>
        <v>0</v>
      </c>
      <c r="S17" s="16">
        <f>Inputs!$C$59*Inputs!$C12*1000*(1+Inputs!$D$59)^11*(1-Inputs!$C21)^11</f>
        <v>0</v>
      </c>
      <c r="T17" s="17">
        <f>SUM(L17:S17)</f>
        <v>0</v>
      </c>
      <c r="U17" s="17">
        <f>T17-K17</f>
        <v>0</v>
      </c>
      <c r="V17" s="18">
        <f>1/(1+Inputs!$C16)^B17</f>
        <v>0</v>
      </c>
      <c r="W17" s="16">
        <f>K17*V17</f>
        <v>0</v>
      </c>
      <c r="X17" s="16">
        <f>T17*V17</f>
        <v>0</v>
      </c>
      <c r="Y17" s="16">
        <f>Y16+U17</f>
        <v>0</v>
      </c>
    </row>
    <row r="18" spans="2:25">
      <c r="B18">
        <v>13</v>
      </c>
      <c r="C18" s="16">
        <f>0</f>
        <v>0</v>
      </c>
      <c r="D18" s="16">
        <f>Calculations!C12</f>
        <v>0</v>
      </c>
      <c r="E18" s="16">
        <f>Inputs!$C28*Calculations!$C$13</f>
        <v>0</v>
      </c>
      <c r="F18" s="16">
        <f>Calculations!C14</f>
        <v>0</v>
      </c>
      <c r="G18" s="16">
        <f>Calculations!C9*Inputs!$C40</f>
        <v>0</v>
      </c>
      <c r="H18" s="16">
        <f>Calculations!$C$9*(1-13/Inputs!$C15)*Inputs!$C41</f>
        <v>0</v>
      </c>
      <c r="I18" s="16">
        <f>IF(B18=Inputs!$C23,Inputs!$C29*Calculations!C6*(1-Inputs!$C61)^B18,0)</f>
        <v>0</v>
      </c>
      <c r="J18" s="16">
        <f>IF(B18=Inputs!$C15,Inputs!$C30*Calculations!C5-Calculations!C15,0)</f>
        <v>0</v>
      </c>
      <c r="K18" s="17">
        <f>SUM(C18:J18)</f>
        <v>0</v>
      </c>
      <c r="L18" s="16">
        <f>Inputs!$C$52*Inputs!$C12*1000*(1+Inputs!$D$52)^12*(1-Inputs!$C21)^12</f>
        <v>0</v>
      </c>
      <c r="M18" s="16">
        <f>Inputs!$C$53*Inputs!$C12*1000*(1+Inputs!$D$53)^12*(1-Inputs!$C21)^12</f>
        <v>0</v>
      </c>
      <c r="N18" s="16">
        <f>Inputs!$C$54*Inputs!$C12*1000*(1+Inputs!$D$54)^12*(1-Inputs!$C21)^12</f>
        <v>0</v>
      </c>
      <c r="O18" s="16">
        <f>Inputs!$C$55*Inputs!$C12*1000*(1+Inputs!$D$55)^12*(1-Inputs!$C21)^12</f>
        <v>0</v>
      </c>
      <c r="P18" s="16">
        <f>Inputs!$C$56*Inputs!$C12*1000*(1+Inputs!$D$56)^12*(1-Inputs!$C21)^12</f>
        <v>0</v>
      </c>
      <c r="Q18" s="16">
        <f>Inputs!$C$57*Inputs!$C12*1000*(1+Inputs!$D$57)^12*(1-Inputs!$C21)^12</f>
        <v>0</v>
      </c>
      <c r="R18" s="16">
        <f>Inputs!$C$58*Inputs!$C12*1000*(1+Inputs!$D$58)^12*(1-Inputs!$C21)^12</f>
        <v>0</v>
      </c>
      <c r="S18" s="16">
        <f>Inputs!$C$59*Inputs!$C12*1000*(1+Inputs!$D$59)^12*(1-Inputs!$C21)^12</f>
        <v>0</v>
      </c>
      <c r="T18" s="17">
        <f>SUM(L18:S18)</f>
        <v>0</v>
      </c>
      <c r="U18" s="17">
        <f>T18-K18</f>
        <v>0</v>
      </c>
      <c r="V18" s="18">
        <f>1/(1+Inputs!$C16)^B18</f>
        <v>0</v>
      </c>
      <c r="W18" s="16">
        <f>K18*V18</f>
        <v>0</v>
      </c>
      <c r="X18" s="16">
        <f>T18*V18</f>
        <v>0</v>
      </c>
      <c r="Y18" s="16">
        <f>Y17+U18</f>
        <v>0</v>
      </c>
    </row>
    <row r="19" spans="2:25">
      <c r="B19">
        <v>14</v>
      </c>
      <c r="C19" s="16">
        <f>0</f>
        <v>0</v>
      </c>
      <c r="D19" s="16">
        <f>Calculations!C12</f>
        <v>0</v>
      </c>
      <c r="E19" s="16">
        <f>Inputs!$C28*Calculations!$C$13</f>
        <v>0</v>
      </c>
      <c r="F19" s="16">
        <f>Calculations!C14</f>
        <v>0</v>
      </c>
      <c r="G19" s="16">
        <f>Calculations!C9*Inputs!$C40</f>
        <v>0</v>
      </c>
      <c r="H19" s="16">
        <f>Calculations!$C$9*(1-14/Inputs!$C15)*Inputs!$C41</f>
        <v>0</v>
      </c>
      <c r="I19" s="16">
        <f>IF(B19=Inputs!$C23,Inputs!$C29*Calculations!C6*(1-Inputs!$C61)^B19,0)</f>
        <v>0</v>
      </c>
      <c r="J19" s="16">
        <f>IF(B19=Inputs!$C15,Inputs!$C30*Calculations!C5-Calculations!C15,0)</f>
        <v>0</v>
      </c>
      <c r="K19" s="17">
        <f>SUM(C19:J19)</f>
        <v>0</v>
      </c>
      <c r="L19" s="16">
        <f>Inputs!$C$52*Inputs!$C12*1000*(1+Inputs!$D$52)^13*(1-Inputs!$C21)^13</f>
        <v>0</v>
      </c>
      <c r="M19" s="16">
        <f>Inputs!$C$53*Inputs!$C12*1000*(1+Inputs!$D$53)^13*(1-Inputs!$C21)^13</f>
        <v>0</v>
      </c>
      <c r="N19" s="16">
        <f>Inputs!$C$54*Inputs!$C12*1000*(1+Inputs!$D$54)^13*(1-Inputs!$C21)^13</f>
        <v>0</v>
      </c>
      <c r="O19" s="16">
        <f>Inputs!$C$55*Inputs!$C12*1000*(1+Inputs!$D$55)^13*(1-Inputs!$C21)^13</f>
        <v>0</v>
      </c>
      <c r="P19" s="16">
        <f>Inputs!$C$56*Inputs!$C12*1000*(1+Inputs!$D$56)^13*(1-Inputs!$C21)^13</f>
        <v>0</v>
      </c>
      <c r="Q19" s="16">
        <f>Inputs!$C$57*Inputs!$C12*1000*(1+Inputs!$D$57)^13*(1-Inputs!$C21)^13</f>
        <v>0</v>
      </c>
      <c r="R19" s="16">
        <f>Inputs!$C$58*Inputs!$C12*1000*(1+Inputs!$D$58)^13*(1-Inputs!$C21)^13</f>
        <v>0</v>
      </c>
      <c r="S19" s="16">
        <f>Inputs!$C$59*Inputs!$C12*1000*(1+Inputs!$D$59)^13*(1-Inputs!$C21)^13</f>
        <v>0</v>
      </c>
      <c r="T19" s="17">
        <f>SUM(L19:S19)</f>
        <v>0</v>
      </c>
      <c r="U19" s="17">
        <f>T19-K19</f>
        <v>0</v>
      </c>
      <c r="V19" s="18">
        <f>1/(1+Inputs!$C16)^B19</f>
        <v>0</v>
      </c>
      <c r="W19" s="16">
        <f>K19*V19</f>
        <v>0</v>
      </c>
      <c r="X19" s="16">
        <f>T19*V19</f>
        <v>0</v>
      </c>
      <c r="Y19" s="16">
        <f>Y18+U19</f>
        <v>0</v>
      </c>
    </row>
    <row r="20" spans="2:25">
      <c r="B20">
        <v>15</v>
      </c>
      <c r="C20" s="16">
        <f>0</f>
        <v>0</v>
      </c>
      <c r="D20" s="16">
        <f>Calculations!C12</f>
        <v>0</v>
      </c>
      <c r="E20" s="16">
        <f>Inputs!$C28*Calculations!$C$13</f>
        <v>0</v>
      </c>
      <c r="F20" s="16">
        <f>Calculations!C14</f>
        <v>0</v>
      </c>
      <c r="G20" s="16">
        <f>Calculations!C9*Inputs!$C40</f>
        <v>0</v>
      </c>
      <c r="H20" s="16">
        <f>Calculations!$C$9*(1-15/Inputs!$C15)*Inputs!$C41</f>
        <v>0</v>
      </c>
      <c r="I20" s="16">
        <f>IF(B20=Inputs!$C23,Inputs!$C29*Calculations!C6*(1-Inputs!$C61)^B20,0)</f>
        <v>0</v>
      </c>
      <c r="J20" s="16">
        <f>IF(B20=Inputs!$C15,Inputs!$C30*Calculations!C5-Calculations!C15,0)</f>
        <v>0</v>
      </c>
      <c r="K20" s="17">
        <f>SUM(C20:J20)</f>
        <v>0</v>
      </c>
      <c r="L20" s="16">
        <f>Inputs!$C$52*Inputs!$C12*1000*(1+Inputs!$D$52)^14*(1-Inputs!$C21)^14</f>
        <v>0</v>
      </c>
      <c r="M20" s="16">
        <f>Inputs!$C$53*Inputs!$C12*1000*(1+Inputs!$D$53)^14*(1-Inputs!$C21)^14</f>
        <v>0</v>
      </c>
      <c r="N20" s="16">
        <f>Inputs!$C$54*Inputs!$C12*1000*(1+Inputs!$D$54)^14*(1-Inputs!$C21)^14</f>
        <v>0</v>
      </c>
      <c r="O20" s="16">
        <f>Inputs!$C$55*Inputs!$C12*1000*(1+Inputs!$D$55)^14*(1-Inputs!$C21)^14</f>
        <v>0</v>
      </c>
      <c r="P20" s="16">
        <f>Inputs!$C$56*Inputs!$C12*1000*(1+Inputs!$D$56)^14*(1-Inputs!$C21)^14</f>
        <v>0</v>
      </c>
      <c r="Q20" s="16">
        <f>Inputs!$C$57*Inputs!$C12*1000*(1+Inputs!$D$57)^14*(1-Inputs!$C21)^14</f>
        <v>0</v>
      </c>
      <c r="R20" s="16">
        <f>Inputs!$C$58*Inputs!$C12*1000*(1+Inputs!$D$58)^14*(1-Inputs!$C21)^14</f>
        <v>0</v>
      </c>
      <c r="S20" s="16">
        <f>Inputs!$C$59*Inputs!$C12*1000*(1+Inputs!$D$59)^14*(1-Inputs!$C21)^14</f>
        <v>0</v>
      </c>
      <c r="T20" s="17">
        <f>SUM(L20:S20)</f>
        <v>0</v>
      </c>
      <c r="U20" s="17">
        <f>T20-K20</f>
        <v>0</v>
      </c>
      <c r="V20" s="18">
        <f>1/(1+Inputs!$C16)^B20</f>
        <v>0</v>
      </c>
      <c r="W20" s="16">
        <f>K20*V20</f>
        <v>0</v>
      </c>
      <c r="X20" s="16">
        <f>T20*V20</f>
        <v>0</v>
      </c>
      <c r="Y20" s="16">
        <f>Y19+U20</f>
        <v>0</v>
      </c>
    </row>
    <row r="21" spans="2:25">
      <c r="B21">
        <v>16</v>
      </c>
      <c r="C21" s="16">
        <f>0</f>
        <v>0</v>
      </c>
      <c r="D21" s="16">
        <f>Calculations!C12</f>
        <v>0</v>
      </c>
      <c r="E21" s="16">
        <f>Inputs!$C28*Calculations!$C$13</f>
        <v>0</v>
      </c>
      <c r="F21" s="16">
        <f>Calculations!C14</f>
        <v>0</v>
      </c>
      <c r="G21" s="16">
        <f>Calculations!C9*Inputs!$C40</f>
        <v>0</v>
      </c>
      <c r="H21" s="16">
        <f>Calculations!$C$9*(1-16/Inputs!$C15)*Inputs!$C41</f>
        <v>0</v>
      </c>
      <c r="I21" s="16">
        <f>IF(B21=Inputs!$C23,Inputs!$C29*Calculations!C6*(1-Inputs!$C61)^B21,0)</f>
        <v>0</v>
      </c>
      <c r="J21" s="16">
        <f>IF(B21=Inputs!$C15,Inputs!$C30*Calculations!C5-Calculations!C15,0)</f>
        <v>0</v>
      </c>
      <c r="K21" s="17">
        <f>SUM(C21:J21)</f>
        <v>0</v>
      </c>
      <c r="L21" s="16">
        <f>Inputs!$C$52*Inputs!$C12*1000*(1+Inputs!$D$52)^15*(1-Inputs!$C21)^15</f>
        <v>0</v>
      </c>
      <c r="M21" s="16">
        <f>Inputs!$C$53*Inputs!$C12*1000*(1+Inputs!$D$53)^15*(1-Inputs!$C21)^15</f>
        <v>0</v>
      </c>
      <c r="N21" s="16">
        <f>Inputs!$C$54*Inputs!$C12*1000*(1+Inputs!$D$54)^15*(1-Inputs!$C21)^15</f>
        <v>0</v>
      </c>
      <c r="O21" s="16">
        <f>Inputs!$C$55*Inputs!$C12*1000*(1+Inputs!$D$55)^15*(1-Inputs!$C21)^15</f>
        <v>0</v>
      </c>
      <c r="P21" s="16">
        <f>Inputs!$C$56*Inputs!$C12*1000*(1+Inputs!$D$56)^15*(1-Inputs!$C21)^15</f>
        <v>0</v>
      </c>
      <c r="Q21" s="16">
        <f>Inputs!$C$57*Inputs!$C12*1000*(1+Inputs!$D$57)^15*(1-Inputs!$C21)^15</f>
        <v>0</v>
      </c>
      <c r="R21" s="16">
        <f>Inputs!$C$58*Inputs!$C12*1000*(1+Inputs!$D$58)^15*(1-Inputs!$C21)^15</f>
        <v>0</v>
      </c>
      <c r="S21" s="16">
        <f>Inputs!$C$59*Inputs!$C12*1000*(1+Inputs!$D$59)^15*(1-Inputs!$C21)^15</f>
        <v>0</v>
      </c>
      <c r="T21" s="17">
        <f>SUM(L21:S21)</f>
        <v>0</v>
      </c>
      <c r="U21" s="17">
        <f>T21-K21</f>
        <v>0</v>
      </c>
      <c r="V21" s="18">
        <f>1/(1+Inputs!$C16)^B21</f>
        <v>0</v>
      </c>
      <c r="W21" s="16">
        <f>K21*V21</f>
        <v>0</v>
      </c>
      <c r="X21" s="16">
        <f>T21*V21</f>
        <v>0</v>
      </c>
      <c r="Y21" s="16">
        <f>Y20+U21</f>
        <v>0</v>
      </c>
    </row>
    <row r="22" spans="2:25">
      <c r="B22">
        <v>17</v>
      </c>
      <c r="C22" s="16">
        <f>0</f>
        <v>0</v>
      </c>
      <c r="D22" s="16">
        <f>Calculations!C12</f>
        <v>0</v>
      </c>
      <c r="E22" s="16">
        <f>Inputs!$C28*Calculations!$C$13</f>
        <v>0</v>
      </c>
      <c r="F22" s="16">
        <f>Calculations!C14</f>
        <v>0</v>
      </c>
      <c r="G22" s="16">
        <f>Calculations!C9*Inputs!$C40</f>
        <v>0</v>
      </c>
      <c r="H22" s="16">
        <f>Calculations!$C$9*(1-17/Inputs!$C15)*Inputs!$C41</f>
        <v>0</v>
      </c>
      <c r="I22" s="16">
        <f>IF(B22=Inputs!$C23,Inputs!$C29*Calculations!C6*(1-Inputs!$C61)^B22,0)</f>
        <v>0</v>
      </c>
      <c r="J22" s="16">
        <f>IF(B22=Inputs!$C15,Inputs!$C30*Calculations!C5-Calculations!C15,0)</f>
        <v>0</v>
      </c>
      <c r="K22" s="17">
        <f>SUM(C22:J22)</f>
        <v>0</v>
      </c>
      <c r="L22" s="16">
        <f>Inputs!$C$52*Inputs!$C12*1000*(1+Inputs!$D$52)^16*(1-Inputs!$C21)^16</f>
        <v>0</v>
      </c>
      <c r="M22" s="16">
        <f>Inputs!$C$53*Inputs!$C12*1000*(1+Inputs!$D$53)^16*(1-Inputs!$C21)^16</f>
        <v>0</v>
      </c>
      <c r="N22" s="16">
        <f>Inputs!$C$54*Inputs!$C12*1000*(1+Inputs!$D$54)^16*(1-Inputs!$C21)^16</f>
        <v>0</v>
      </c>
      <c r="O22" s="16">
        <f>Inputs!$C$55*Inputs!$C12*1000*(1+Inputs!$D$55)^16*(1-Inputs!$C21)^16</f>
        <v>0</v>
      </c>
      <c r="P22" s="16">
        <f>Inputs!$C$56*Inputs!$C12*1000*(1+Inputs!$D$56)^16*(1-Inputs!$C21)^16</f>
        <v>0</v>
      </c>
      <c r="Q22" s="16">
        <f>Inputs!$C$57*Inputs!$C12*1000*(1+Inputs!$D$57)^16*(1-Inputs!$C21)^16</f>
        <v>0</v>
      </c>
      <c r="R22" s="16">
        <f>Inputs!$C$58*Inputs!$C12*1000*(1+Inputs!$D$58)^16*(1-Inputs!$C21)^16</f>
        <v>0</v>
      </c>
      <c r="S22" s="16">
        <f>Inputs!$C$59*Inputs!$C12*1000*(1+Inputs!$D$59)^16*(1-Inputs!$C21)^16</f>
        <v>0</v>
      </c>
      <c r="T22" s="17">
        <f>SUM(L22:S22)</f>
        <v>0</v>
      </c>
      <c r="U22" s="17">
        <f>T22-K22</f>
        <v>0</v>
      </c>
      <c r="V22" s="18">
        <f>1/(1+Inputs!$C16)^B22</f>
        <v>0</v>
      </c>
      <c r="W22" s="16">
        <f>K22*V22</f>
        <v>0</v>
      </c>
      <c r="X22" s="16">
        <f>T22*V22</f>
        <v>0</v>
      </c>
      <c r="Y22" s="16">
        <f>Y21+U22</f>
        <v>0</v>
      </c>
    </row>
    <row r="23" spans="2:25">
      <c r="B23">
        <v>18</v>
      </c>
      <c r="C23" s="16">
        <f>0</f>
        <v>0</v>
      </c>
      <c r="D23" s="16">
        <f>Calculations!C12</f>
        <v>0</v>
      </c>
      <c r="E23" s="16">
        <f>Inputs!$C28*Calculations!$C$13</f>
        <v>0</v>
      </c>
      <c r="F23" s="16">
        <f>Calculations!C14</f>
        <v>0</v>
      </c>
      <c r="G23" s="16">
        <f>Calculations!C9*Inputs!$C40</f>
        <v>0</v>
      </c>
      <c r="H23" s="16">
        <f>Calculations!$C$9*(1-18/Inputs!$C15)*Inputs!$C41</f>
        <v>0</v>
      </c>
      <c r="I23" s="16">
        <f>IF(B23=Inputs!$C23,Inputs!$C29*Calculations!C6*(1-Inputs!$C61)^B23,0)</f>
        <v>0</v>
      </c>
      <c r="J23" s="16">
        <f>IF(B23=Inputs!$C15,Inputs!$C30*Calculations!C5-Calculations!C15,0)</f>
        <v>0</v>
      </c>
      <c r="K23" s="17">
        <f>SUM(C23:J23)</f>
        <v>0</v>
      </c>
      <c r="L23" s="16">
        <f>Inputs!$C$52*Inputs!$C12*1000*(1+Inputs!$D$52)^17*(1-Inputs!$C21)^17</f>
        <v>0</v>
      </c>
      <c r="M23" s="16">
        <f>Inputs!$C$53*Inputs!$C12*1000*(1+Inputs!$D$53)^17*(1-Inputs!$C21)^17</f>
        <v>0</v>
      </c>
      <c r="N23" s="16">
        <f>Inputs!$C$54*Inputs!$C12*1000*(1+Inputs!$D$54)^17*(1-Inputs!$C21)^17</f>
        <v>0</v>
      </c>
      <c r="O23" s="16">
        <f>Inputs!$C$55*Inputs!$C12*1000*(1+Inputs!$D$55)^17*(1-Inputs!$C21)^17</f>
        <v>0</v>
      </c>
      <c r="P23" s="16">
        <f>Inputs!$C$56*Inputs!$C12*1000*(1+Inputs!$D$56)^17*(1-Inputs!$C21)^17</f>
        <v>0</v>
      </c>
      <c r="Q23" s="16">
        <f>Inputs!$C$57*Inputs!$C12*1000*(1+Inputs!$D$57)^17*(1-Inputs!$C21)^17</f>
        <v>0</v>
      </c>
      <c r="R23" s="16">
        <f>Inputs!$C$58*Inputs!$C12*1000*(1+Inputs!$D$58)^17*(1-Inputs!$C21)^17</f>
        <v>0</v>
      </c>
      <c r="S23" s="16">
        <f>Inputs!$C$59*Inputs!$C12*1000*(1+Inputs!$D$59)^17*(1-Inputs!$C21)^17</f>
        <v>0</v>
      </c>
      <c r="T23" s="17">
        <f>SUM(L23:S23)</f>
        <v>0</v>
      </c>
      <c r="U23" s="17">
        <f>T23-K23</f>
        <v>0</v>
      </c>
      <c r="V23" s="18">
        <f>1/(1+Inputs!$C16)^B23</f>
        <v>0</v>
      </c>
      <c r="W23" s="16">
        <f>K23*V23</f>
        <v>0</v>
      </c>
      <c r="X23" s="16">
        <f>T23*V23</f>
        <v>0</v>
      </c>
      <c r="Y23" s="16">
        <f>Y22+U23</f>
        <v>0</v>
      </c>
    </row>
    <row r="24" spans="2:25">
      <c r="B24">
        <v>19</v>
      </c>
      <c r="C24" s="16">
        <f>0</f>
        <v>0</v>
      </c>
      <c r="D24" s="16">
        <f>Calculations!C12</f>
        <v>0</v>
      </c>
      <c r="E24" s="16">
        <f>Inputs!$C28*Calculations!$C$13</f>
        <v>0</v>
      </c>
      <c r="F24" s="16">
        <f>Calculations!C14</f>
        <v>0</v>
      </c>
      <c r="G24" s="16">
        <f>Calculations!C9*Inputs!$C40</f>
        <v>0</v>
      </c>
      <c r="H24" s="16">
        <f>Calculations!$C$9*(1-19/Inputs!$C15)*Inputs!$C41</f>
        <v>0</v>
      </c>
      <c r="I24" s="16">
        <f>IF(B24=Inputs!$C23,Inputs!$C29*Calculations!C6*(1-Inputs!$C61)^B24,0)</f>
        <v>0</v>
      </c>
      <c r="J24" s="16">
        <f>IF(B24=Inputs!$C15,Inputs!$C30*Calculations!C5-Calculations!C15,0)</f>
        <v>0</v>
      </c>
      <c r="K24" s="17">
        <f>SUM(C24:J24)</f>
        <v>0</v>
      </c>
      <c r="L24" s="16">
        <f>Inputs!$C$52*Inputs!$C12*1000*(1+Inputs!$D$52)^18*(1-Inputs!$C21)^18</f>
        <v>0</v>
      </c>
      <c r="M24" s="16">
        <f>Inputs!$C$53*Inputs!$C12*1000*(1+Inputs!$D$53)^18*(1-Inputs!$C21)^18</f>
        <v>0</v>
      </c>
      <c r="N24" s="16">
        <f>Inputs!$C$54*Inputs!$C12*1000*(1+Inputs!$D$54)^18*(1-Inputs!$C21)^18</f>
        <v>0</v>
      </c>
      <c r="O24" s="16">
        <f>Inputs!$C$55*Inputs!$C12*1000*(1+Inputs!$D$55)^18*(1-Inputs!$C21)^18</f>
        <v>0</v>
      </c>
      <c r="P24" s="16">
        <f>Inputs!$C$56*Inputs!$C12*1000*(1+Inputs!$D$56)^18*(1-Inputs!$C21)^18</f>
        <v>0</v>
      </c>
      <c r="Q24" s="16">
        <f>Inputs!$C$57*Inputs!$C12*1000*(1+Inputs!$D$57)^18*(1-Inputs!$C21)^18</f>
        <v>0</v>
      </c>
      <c r="R24" s="16">
        <f>Inputs!$C$58*Inputs!$C12*1000*(1+Inputs!$D$58)^18*(1-Inputs!$C21)^18</f>
        <v>0</v>
      </c>
      <c r="S24" s="16">
        <f>Inputs!$C$59*Inputs!$C12*1000*(1+Inputs!$D$59)^18*(1-Inputs!$C21)^18</f>
        <v>0</v>
      </c>
      <c r="T24" s="17">
        <f>SUM(L24:S24)</f>
        <v>0</v>
      </c>
      <c r="U24" s="17">
        <f>T24-K24</f>
        <v>0</v>
      </c>
      <c r="V24" s="18">
        <f>1/(1+Inputs!$C16)^B24</f>
        <v>0</v>
      </c>
      <c r="W24" s="16">
        <f>K24*V24</f>
        <v>0</v>
      </c>
      <c r="X24" s="16">
        <f>T24*V24</f>
        <v>0</v>
      </c>
      <c r="Y24" s="16">
        <f>Y23+U24</f>
        <v>0</v>
      </c>
    </row>
    <row r="25" spans="2:25">
      <c r="B25">
        <v>20</v>
      </c>
      <c r="C25" s="16">
        <f>0</f>
        <v>0</v>
      </c>
      <c r="D25" s="16">
        <f>Calculations!C12</f>
        <v>0</v>
      </c>
      <c r="E25" s="16">
        <f>Inputs!$C28*Calculations!$C$13</f>
        <v>0</v>
      </c>
      <c r="F25" s="16">
        <f>Calculations!C14</f>
        <v>0</v>
      </c>
      <c r="G25" s="16">
        <f>Calculations!C9*Inputs!$C40</f>
        <v>0</v>
      </c>
      <c r="H25" s="16">
        <f>Calculations!$C$9*(1-20/Inputs!$C15)*Inputs!$C41</f>
        <v>0</v>
      </c>
      <c r="I25" s="16">
        <f>IF(B25=Inputs!$C23,Inputs!$C29*Calculations!C6*(1-Inputs!$C61)^B25,0)</f>
        <v>0</v>
      </c>
      <c r="J25" s="16">
        <f>IF(B25=Inputs!$C15,Inputs!$C30*Calculations!C5-Calculations!C15,0)</f>
        <v>0</v>
      </c>
      <c r="K25" s="17">
        <f>SUM(C25:J25)</f>
        <v>0</v>
      </c>
      <c r="L25" s="16">
        <f>Inputs!$C$52*Inputs!$C12*1000*(1+Inputs!$D$52)^19*(1-Inputs!$C21)^19</f>
        <v>0</v>
      </c>
      <c r="M25" s="16">
        <f>Inputs!$C$53*Inputs!$C12*1000*(1+Inputs!$D$53)^19*(1-Inputs!$C21)^19</f>
        <v>0</v>
      </c>
      <c r="N25" s="16">
        <f>Inputs!$C$54*Inputs!$C12*1000*(1+Inputs!$D$54)^19*(1-Inputs!$C21)^19</f>
        <v>0</v>
      </c>
      <c r="O25" s="16">
        <f>Inputs!$C$55*Inputs!$C12*1000*(1+Inputs!$D$55)^19*(1-Inputs!$C21)^19</f>
        <v>0</v>
      </c>
      <c r="P25" s="16">
        <f>Inputs!$C$56*Inputs!$C12*1000*(1+Inputs!$D$56)^19*(1-Inputs!$C21)^19</f>
        <v>0</v>
      </c>
      <c r="Q25" s="16">
        <f>Inputs!$C$57*Inputs!$C12*1000*(1+Inputs!$D$57)^19*(1-Inputs!$C21)^19</f>
        <v>0</v>
      </c>
      <c r="R25" s="16">
        <f>Inputs!$C$58*Inputs!$C12*1000*(1+Inputs!$D$58)^19*(1-Inputs!$C21)^19</f>
        <v>0</v>
      </c>
      <c r="S25" s="16">
        <f>Inputs!$C$59*Inputs!$C12*1000*(1+Inputs!$D$59)^19*(1-Inputs!$C21)^19</f>
        <v>0</v>
      </c>
      <c r="T25" s="17">
        <f>SUM(L25:S25)</f>
        <v>0</v>
      </c>
      <c r="U25" s="17">
        <f>T25-K25</f>
        <v>0</v>
      </c>
      <c r="V25" s="18">
        <f>1/(1+Inputs!$C16)^B25</f>
        <v>0</v>
      </c>
      <c r="W25" s="16">
        <f>K25*V25</f>
        <v>0</v>
      </c>
      <c r="X25" s="16">
        <f>T25*V25</f>
        <v>0</v>
      </c>
      <c r="Y25" s="16">
        <f>Y24+U25</f>
        <v>0</v>
      </c>
    </row>
    <row r="27" spans="2:25">
      <c r="B27" s="3" t="s">
        <v>169</v>
      </c>
      <c r="K27" s="17">
        <f>SUM(K5:K25)</f>
        <v>0</v>
      </c>
      <c r="T27" s="17">
        <f>SUM(T5:T25)</f>
        <v>0</v>
      </c>
      <c r="W27" s="17">
        <f>SUM(W5:W25)</f>
        <v>0</v>
      </c>
      <c r="X27" s="17">
        <f>SUM(X5:X25)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D22"/>
  <sheetViews>
    <sheetView workbookViewId="0"/>
  </sheetViews>
  <sheetFormatPr defaultRowHeight="15"/>
  <cols>
    <col min="1" max="1" width="5.7109375" customWidth="1"/>
    <col min="2" max="2" width="25.7109375" customWidth="1"/>
    <col min="3" max="3" width="18.7109375" customWidth="1"/>
    <col min="4" max="4" width="50.7109375" customWidth="1"/>
  </cols>
  <sheetData>
    <row r="2" spans="2:4">
      <c r="B2" s="1" t="s">
        <v>170</v>
      </c>
    </row>
    <row r="4" spans="2:4">
      <c r="B4" s="2" t="s">
        <v>171</v>
      </c>
      <c r="C4" s="2"/>
      <c r="D4" s="2"/>
    </row>
    <row r="5" spans="2:4">
      <c r="B5" s="3" t="s">
        <v>172</v>
      </c>
      <c r="C5" s="17">
        <f>Inputs!C12*1000</f>
        <v>0</v>
      </c>
      <c r="D5" s="5" t="s">
        <v>173</v>
      </c>
    </row>
    <row r="6" spans="2:4">
      <c r="B6" s="3" t="s">
        <v>174</v>
      </c>
      <c r="C6" s="17">
        <f>Inputs!C14*1000</f>
        <v>0</v>
      </c>
      <c r="D6" s="5" t="s">
        <v>175</v>
      </c>
    </row>
    <row r="7" spans="2:4">
      <c r="B7" s="3" t="s">
        <v>176</v>
      </c>
      <c r="C7" s="17">
        <f>Inputs!C26*C6</f>
        <v>0</v>
      </c>
      <c r="D7" s="5" t="s">
        <v>177</v>
      </c>
    </row>
    <row r="8" spans="2:4">
      <c r="B8" s="3" t="s">
        <v>178</v>
      </c>
      <c r="C8" s="17">
        <f>(Inputs!C37+Inputs!C38+Inputs!C39)*C5</f>
        <v>0</v>
      </c>
      <c r="D8" s="5" t="s">
        <v>179</v>
      </c>
    </row>
    <row r="9" spans="2:4">
      <c r="B9" s="3" t="s">
        <v>180</v>
      </c>
      <c r="C9" s="17">
        <f>C7+C8</f>
        <v>0</v>
      </c>
      <c r="D9" s="5" t="s">
        <v>181</v>
      </c>
    </row>
    <row r="10" spans="2:4">
      <c r="B10" s="3" t="s">
        <v>182</v>
      </c>
      <c r="C10" s="17">
        <f>C7*(Inputs!C34+Inputs!C35)</f>
        <v>0</v>
      </c>
      <c r="D10" s="5" t="s">
        <v>183</v>
      </c>
    </row>
    <row r="11" spans="2:4">
      <c r="B11" s="3" t="s">
        <v>184</v>
      </c>
      <c r="C11" s="17">
        <f>C9-C10</f>
        <v>0</v>
      </c>
      <c r="D11" s="5" t="s">
        <v>185</v>
      </c>
    </row>
    <row r="12" spans="2:4">
      <c r="B12" s="3" t="s">
        <v>186</v>
      </c>
      <c r="C12" s="17">
        <f>Inputs!C27*C5</f>
        <v>0</v>
      </c>
      <c r="D12" s="5" t="s">
        <v>187</v>
      </c>
    </row>
    <row r="13" spans="2:4">
      <c r="B13" s="3" t="s">
        <v>188</v>
      </c>
      <c r="C13" s="17">
        <f>Inputs!C14*Inputs!C24*365*Inputs!C20</f>
        <v>0</v>
      </c>
      <c r="D13" s="5" t="s">
        <v>189</v>
      </c>
    </row>
    <row r="14" spans="2:4">
      <c r="B14" s="3" t="s">
        <v>190</v>
      </c>
      <c r="C14" s="17">
        <f>C13/Inputs!C20*Inputs!C31</f>
        <v>0</v>
      </c>
      <c r="D14" s="5" t="s">
        <v>191</v>
      </c>
    </row>
    <row r="15" spans="2:4">
      <c r="B15" s="3" t="s">
        <v>192</v>
      </c>
      <c r="C15" s="17">
        <f>C9*Inputs!C32</f>
        <v>0</v>
      </c>
      <c r="D15" s="5" t="s">
        <v>193</v>
      </c>
    </row>
    <row r="17" spans="2:4">
      <c r="B17" s="2" t="s">
        <v>194</v>
      </c>
      <c r="C17" s="2"/>
      <c r="D17" s="2"/>
    </row>
    <row r="18" spans="2:4">
      <c r="B18" s="3" t="s">
        <v>195</v>
      </c>
      <c r="C18" t="s">
        <v>196</v>
      </c>
      <c r="D18" s="5" t="s">
        <v>197</v>
      </c>
    </row>
    <row r="19" spans="2:4">
      <c r="B19" s="3" t="s">
        <v>198</v>
      </c>
      <c r="C19" t="s">
        <v>199</v>
      </c>
      <c r="D19" s="5" t="s">
        <v>200</v>
      </c>
    </row>
    <row r="20" spans="2:4">
      <c r="B20" s="3" t="s">
        <v>201</v>
      </c>
      <c r="C20" t="s">
        <v>202</v>
      </c>
      <c r="D20" s="5" t="s">
        <v>197</v>
      </c>
    </row>
    <row r="21" spans="2:4">
      <c r="B21" s="3" t="s">
        <v>203</v>
      </c>
      <c r="C21" t="s">
        <v>204</v>
      </c>
      <c r="D21" s="5" t="s">
        <v>205</v>
      </c>
    </row>
    <row r="22" spans="2:4">
      <c r="B22" s="3" t="s">
        <v>206</v>
      </c>
      <c r="C22" t="s">
        <v>207</v>
      </c>
      <c r="D22" s="5" t="s">
        <v>208</v>
      </c>
    </row>
  </sheetData>
  <mergeCells count="2">
    <mergeCell ref="B4:D4"/>
    <mergeCell ref="B17:D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41"/>
  <sheetViews>
    <sheetView workbookViewId="0"/>
  </sheetViews>
  <sheetFormatPr defaultRowHeight="15"/>
  <cols>
    <col min="1" max="1" width="3.7109375" customWidth="1"/>
    <col min="2" max="2" width="20.7109375" customWidth="1"/>
    <col min="3" max="12" width="14.7109375" customWidth="1"/>
  </cols>
  <sheetData>
    <row r="2" spans="2:12">
      <c r="B2" s="1" t="s">
        <v>233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>
      <c r="B4" s="5" t="s">
        <v>234</v>
      </c>
      <c r="C4" s="5"/>
      <c r="D4" s="5"/>
      <c r="E4" s="5"/>
      <c r="F4" s="5"/>
      <c r="G4" s="5"/>
      <c r="H4" s="5"/>
      <c r="I4" s="5"/>
      <c r="J4" s="5"/>
      <c r="K4" s="5"/>
      <c r="L4" s="5"/>
    </row>
    <row r="6" spans="2:12">
      <c r="B6" s="2" t="s">
        <v>235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>
      <c r="B7" s="9" t="s">
        <v>236</v>
      </c>
      <c r="C7" s="9" t="s">
        <v>237</v>
      </c>
      <c r="D7" s="9" t="s">
        <v>238</v>
      </c>
      <c r="E7" s="9" t="s">
        <v>239</v>
      </c>
      <c r="F7" s="9" t="s">
        <v>240</v>
      </c>
      <c r="G7" s="9" t="s">
        <v>241</v>
      </c>
      <c r="H7" s="9" t="s">
        <v>242</v>
      </c>
      <c r="I7" s="9" t="s">
        <v>243</v>
      </c>
    </row>
    <row r="8" spans="2:12">
      <c r="B8" s="3" t="s">
        <v>244</v>
      </c>
      <c r="C8" s="16">
        <f>(Cash_Flows!X27*0.7)-(Cash_Flows!W27*(1+(100-Inputs!$C26)/Inputs!$C26))</f>
        <v>0</v>
      </c>
      <c r="D8" s="16">
        <f>(Cash_Flows!X27*0.8)-(Cash_Flows!W27*(1+(100-Inputs!$C26)/Inputs!$C26))</f>
        <v>0</v>
      </c>
      <c r="E8" s="16">
        <f>(Cash_Flows!X27*0.9)-(Cash_Flows!W27*(1+(100-Inputs!$C26)/Inputs!$C26))</f>
        <v>0</v>
      </c>
      <c r="F8" s="16">
        <f>(Cash_Flows!X27*1.0)-(Cash_Flows!W27*(1+(100-Inputs!$C26)/Inputs!$C26))</f>
        <v>0</v>
      </c>
      <c r="G8" s="16">
        <f>(Cash_Flows!X27*1.1)-(Cash_Flows!W27*(1+(100-Inputs!$C26)/Inputs!$C26))</f>
        <v>0</v>
      </c>
      <c r="H8" s="16">
        <f>(Cash_Flows!X27*1.2)-(Cash_Flows!W27*(1+(100-Inputs!$C26)/Inputs!$C26))</f>
        <v>0</v>
      </c>
      <c r="I8" s="16">
        <f>(Cash_Flows!X27*1.3)-(Cash_Flows!W27*(1+(100-Inputs!$C26)/Inputs!$C26))</f>
        <v>0</v>
      </c>
    </row>
    <row r="9" spans="2:12">
      <c r="B9" s="3" t="s">
        <v>245</v>
      </c>
      <c r="C9" s="16">
        <f>(Cash_Flows!X27*0.7)-(Cash_Flows!W27*(1+(120-Inputs!$C26)/Inputs!$C26))</f>
        <v>0</v>
      </c>
      <c r="D9" s="16">
        <f>(Cash_Flows!X27*0.8)-(Cash_Flows!W27*(1+(120-Inputs!$C26)/Inputs!$C26))</f>
        <v>0</v>
      </c>
      <c r="E9" s="16">
        <f>(Cash_Flows!X27*0.9)-(Cash_Flows!W27*(1+(120-Inputs!$C26)/Inputs!$C26))</f>
        <v>0</v>
      </c>
      <c r="F9" s="16">
        <f>(Cash_Flows!X27*1.0)-(Cash_Flows!W27*(1+(120-Inputs!$C26)/Inputs!$C26))</f>
        <v>0</v>
      </c>
      <c r="G9" s="16">
        <f>(Cash_Flows!X27*1.1)-(Cash_Flows!W27*(1+(120-Inputs!$C26)/Inputs!$C26))</f>
        <v>0</v>
      </c>
      <c r="H9" s="16">
        <f>(Cash_Flows!X27*1.2)-(Cash_Flows!W27*(1+(120-Inputs!$C26)/Inputs!$C26))</f>
        <v>0</v>
      </c>
      <c r="I9" s="16">
        <f>(Cash_Flows!X27*1.3)-(Cash_Flows!W27*(1+(120-Inputs!$C26)/Inputs!$C26))</f>
        <v>0</v>
      </c>
    </row>
    <row r="10" spans="2:12">
      <c r="B10" s="3" t="s">
        <v>246</v>
      </c>
      <c r="C10" s="16">
        <f>(Cash_Flows!X27*0.7)-(Cash_Flows!W27*(1+(140-Inputs!$C26)/Inputs!$C26))</f>
        <v>0</v>
      </c>
      <c r="D10" s="16">
        <f>(Cash_Flows!X27*0.8)-(Cash_Flows!W27*(1+(140-Inputs!$C26)/Inputs!$C26))</f>
        <v>0</v>
      </c>
      <c r="E10" s="16">
        <f>(Cash_Flows!X27*0.9)-(Cash_Flows!W27*(1+(140-Inputs!$C26)/Inputs!$C26))</f>
        <v>0</v>
      </c>
      <c r="F10" s="16">
        <f>(Cash_Flows!X27*1.0)-(Cash_Flows!W27*(1+(140-Inputs!$C26)/Inputs!$C26))</f>
        <v>0</v>
      </c>
      <c r="G10" s="16">
        <f>(Cash_Flows!X27*1.1)-(Cash_Flows!W27*(1+(140-Inputs!$C26)/Inputs!$C26))</f>
        <v>0</v>
      </c>
      <c r="H10" s="16">
        <f>(Cash_Flows!X27*1.2)-(Cash_Flows!W27*(1+(140-Inputs!$C26)/Inputs!$C26))</f>
        <v>0</v>
      </c>
      <c r="I10" s="16">
        <f>(Cash_Flows!X27*1.3)-(Cash_Flows!W27*(1+(140-Inputs!$C26)/Inputs!$C26))</f>
        <v>0</v>
      </c>
    </row>
    <row r="11" spans="2:12">
      <c r="B11" s="3" t="s">
        <v>247</v>
      </c>
      <c r="C11" s="16">
        <f>(Cash_Flows!X27*0.7)-(Cash_Flows!W27*(1+(160-Inputs!$C26)/Inputs!$C26))</f>
        <v>0</v>
      </c>
      <c r="D11" s="16">
        <f>(Cash_Flows!X27*0.8)-(Cash_Flows!W27*(1+(160-Inputs!$C26)/Inputs!$C26))</f>
        <v>0</v>
      </c>
      <c r="E11" s="16">
        <f>(Cash_Flows!X27*0.9)-(Cash_Flows!W27*(1+(160-Inputs!$C26)/Inputs!$C26))</f>
        <v>0</v>
      </c>
      <c r="F11" s="16">
        <f>(Cash_Flows!X27*1.0)-(Cash_Flows!W27*(1+(160-Inputs!$C26)/Inputs!$C26))</f>
        <v>0</v>
      </c>
      <c r="G11" s="16">
        <f>(Cash_Flows!X27*1.1)-(Cash_Flows!W27*(1+(160-Inputs!$C26)/Inputs!$C26))</f>
        <v>0</v>
      </c>
      <c r="H11" s="16">
        <f>(Cash_Flows!X27*1.2)-(Cash_Flows!W27*(1+(160-Inputs!$C26)/Inputs!$C26))</f>
        <v>0</v>
      </c>
      <c r="I11" s="16">
        <f>(Cash_Flows!X27*1.3)-(Cash_Flows!W27*(1+(160-Inputs!$C26)/Inputs!$C26))</f>
        <v>0</v>
      </c>
    </row>
    <row r="12" spans="2:12">
      <c r="B12" s="3" t="s">
        <v>248</v>
      </c>
      <c r="C12" s="16">
        <f>(Cash_Flows!X27*0.7)-(Cash_Flows!W27*(1+(180-Inputs!$C26)/Inputs!$C26))</f>
        <v>0</v>
      </c>
      <c r="D12" s="16">
        <f>(Cash_Flows!X27*0.8)-(Cash_Flows!W27*(1+(180-Inputs!$C26)/Inputs!$C26))</f>
        <v>0</v>
      </c>
      <c r="E12" s="16">
        <f>(Cash_Flows!X27*0.9)-(Cash_Flows!W27*(1+(180-Inputs!$C26)/Inputs!$C26))</f>
        <v>0</v>
      </c>
      <c r="F12" s="16">
        <f>(Cash_Flows!X27*1.0)-(Cash_Flows!W27*(1+(180-Inputs!$C26)/Inputs!$C26))</f>
        <v>0</v>
      </c>
      <c r="G12" s="16">
        <f>(Cash_Flows!X27*1.1)-(Cash_Flows!W27*(1+(180-Inputs!$C26)/Inputs!$C26))</f>
        <v>0</v>
      </c>
      <c r="H12" s="16">
        <f>(Cash_Flows!X27*1.2)-(Cash_Flows!W27*(1+(180-Inputs!$C26)/Inputs!$C26))</f>
        <v>0</v>
      </c>
      <c r="I12" s="16">
        <f>(Cash_Flows!X27*1.3)-(Cash_Flows!W27*(1+(180-Inputs!$C26)/Inputs!$C26))</f>
        <v>0</v>
      </c>
    </row>
    <row r="13" spans="2:12">
      <c r="B13" s="3" t="s">
        <v>249</v>
      </c>
      <c r="C13" s="16">
        <f>(Cash_Flows!X27*0.7)-(Cash_Flows!W27*(1+(200-Inputs!$C26)/Inputs!$C26))</f>
        <v>0</v>
      </c>
      <c r="D13" s="16">
        <f>(Cash_Flows!X27*0.8)-(Cash_Flows!W27*(1+(200-Inputs!$C26)/Inputs!$C26))</f>
        <v>0</v>
      </c>
      <c r="E13" s="16">
        <f>(Cash_Flows!X27*0.9)-(Cash_Flows!W27*(1+(200-Inputs!$C26)/Inputs!$C26))</f>
        <v>0</v>
      </c>
      <c r="F13" s="16">
        <f>(Cash_Flows!X27*1.0)-(Cash_Flows!W27*(1+(200-Inputs!$C26)/Inputs!$C26))</f>
        <v>0</v>
      </c>
      <c r="G13" s="16">
        <f>(Cash_Flows!X27*1.1)-(Cash_Flows!W27*(1+(200-Inputs!$C26)/Inputs!$C26))</f>
        <v>0</v>
      </c>
      <c r="H13" s="16">
        <f>(Cash_Flows!X27*1.2)-(Cash_Flows!W27*(1+(200-Inputs!$C26)/Inputs!$C26))</f>
        <v>0</v>
      </c>
      <c r="I13" s="16">
        <f>(Cash_Flows!X27*1.3)-(Cash_Flows!W27*(1+(200-Inputs!$C26)/Inputs!$C26))</f>
        <v>0</v>
      </c>
    </row>
    <row r="14" spans="2:12">
      <c r="B14" s="3" t="s">
        <v>250</v>
      </c>
      <c r="C14" s="16">
        <f>(Cash_Flows!X27*0.7)-(Cash_Flows!W27*(1+(220-Inputs!$C26)/Inputs!$C26))</f>
        <v>0</v>
      </c>
      <c r="D14" s="16">
        <f>(Cash_Flows!X27*0.8)-(Cash_Flows!W27*(1+(220-Inputs!$C26)/Inputs!$C26))</f>
        <v>0</v>
      </c>
      <c r="E14" s="16">
        <f>(Cash_Flows!X27*0.9)-(Cash_Flows!W27*(1+(220-Inputs!$C26)/Inputs!$C26))</f>
        <v>0</v>
      </c>
      <c r="F14" s="16">
        <f>(Cash_Flows!X27*1.0)-(Cash_Flows!W27*(1+(220-Inputs!$C26)/Inputs!$C26))</f>
        <v>0</v>
      </c>
      <c r="G14" s="16">
        <f>(Cash_Flows!X27*1.1)-(Cash_Flows!W27*(1+(220-Inputs!$C26)/Inputs!$C26))</f>
        <v>0</v>
      </c>
      <c r="H14" s="16">
        <f>(Cash_Flows!X27*1.2)-(Cash_Flows!W27*(1+(220-Inputs!$C26)/Inputs!$C26))</f>
        <v>0</v>
      </c>
      <c r="I14" s="16">
        <f>(Cash_Flows!X27*1.3)-(Cash_Flows!W27*(1+(220-Inputs!$C26)/Inputs!$C26))</f>
        <v>0</v>
      </c>
    </row>
    <row r="17" spans="2:12">
      <c r="B17" s="2" t="s">
        <v>251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>
      <c r="B18" s="9" t="s">
        <v>198</v>
      </c>
      <c r="C18" s="9" t="s">
        <v>237</v>
      </c>
      <c r="D18" s="9" t="s">
        <v>238</v>
      </c>
      <c r="E18" s="9" t="s">
        <v>239</v>
      </c>
      <c r="F18" s="9" t="s">
        <v>240</v>
      </c>
      <c r="G18" s="9" t="s">
        <v>241</v>
      </c>
      <c r="H18" s="9" t="s">
        <v>242</v>
      </c>
      <c r="I18" s="9" t="s">
        <v>243</v>
      </c>
    </row>
    <row r="19" spans="2:12">
      <c r="B19" s="3" t="s">
        <v>244</v>
      </c>
      <c r="C19" s="18">
        <f>(Cash_Flows!X27*0.7)/(Cash_Flows!W27*(1+(100-Inputs!$C26)/Inputs!$C26))</f>
        <v>0</v>
      </c>
      <c r="D19" s="18">
        <f>(Cash_Flows!X27*0.8)/(Cash_Flows!W27*(1+(100-Inputs!$C26)/Inputs!$C26))</f>
        <v>0</v>
      </c>
      <c r="E19" s="18">
        <f>(Cash_Flows!X27*0.9)/(Cash_Flows!W27*(1+(100-Inputs!$C26)/Inputs!$C26))</f>
        <v>0</v>
      </c>
      <c r="F19" s="18">
        <f>(Cash_Flows!X27*1.0)/(Cash_Flows!W27*(1+(100-Inputs!$C26)/Inputs!$C26))</f>
        <v>0</v>
      </c>
      <c r="G19" s="18">
        <f>(Cash_Flows!X27*1.1)/(Cash_Flows!W27*(1+(100-Inputs!$C26)/Inputs!$C26))</f>
        <v>0</v>
      </c>
      <c r="H19" s="18">
        <f>(Cash_Flows!X27*1.2)/(Cash_Flows!W27*(1+(100-Inputs!$C26)/Inputs!$C26))</f>
        <v>0</v>
      </c>
      <c r="I19" s="18">
        <f>(Cash_Flows!X27*1.3)/(Cash_Flows!W27*(1+(100-Inputs!$C26)/Inputs!$C26))</f>
        <v>0</v>
      </c>
    </row>
    <row r="20" spans="2:12">
      <c r="B20" s="3" t="s">
        <v>245</v>
      </c>
      <c r="C20" s="18">
        <f>(Cash_Flows!X27*0.7)/(Cash_Flows!W27*(1+(120-Inputs!$C26)/Inputs!$C26))</f>
        <v>0</v>
      </c>
      <c r="D20" s="18">
        <f>(Cash_Flows!X27*0.8)/(Cash_Flows!W27*(1+(120-Inputs!$C26)/Inputs!$C26))</f>
        <v>0</v>
      </c>
      <c r="E20" s="18">
        <f>(Cash_Flows!X27*0.9)/(Cash_Flows!W27*(1+(120-Inputs!$C26)/Inputs!$C26))</f>
        <v>0</v>
      </c>
      <c r="F20" s="18">
        <f>(Cash_Flows!X27*1.0)/(Cash_Flows!W27*(1+(120-Inputs!$C26)/Inputs!$C26))</f>
        <v>0</v>
      </c>
      <c r="G20" s="18">
        <f>(Cash_Flows!X27*1.1)/(Cash_Flows!W27*(1+(120-Inputs!$C26)/Inputs!$C26))</f>
        <v>0</v>
      </c>
      <c r="H20" s="18">
        <f>(Cash_Flows!X27*1.2)/(Cash_Flows!W27*(1+(120-Inputs!$C26)/Inputs!$C26))</f>
        <v>0</v>
      </c>
      <c r="I20" s="18">
        <f>(Cash_Flows!X27*1.3)/(Cash_Flows!W27*(1+(120-Inputs!$C26)/Inputs!$C26))</f>
        <v>0</v>
      </c>
    </row>
    <row r="21" spans="2:12">
      <c r="B21" s="3" t="s">
        <v>246</v>
      </c>
      <c r="C21" s="18">
        <f>(Cash_Flows!X27*0.7)/(Cash_Flows!W27*(1+(140-Inputs!$C26)/Inputs!$C26))</f>
        <v>0</v>
      </c>
      <c r="D21" s="18">
        <f>(Cash_Flows!X27*0.8)/(Cash_Flows!W27*(1+(140-Inputs!$C26)/Inputs!$C26))</f>
        <v>0</v>
      </c>
      <c r="E21" s="18">
        <f>(Cash_Flows!X27*0.9)/(Cash_Flows!W27*(1+(140-Inputs!$C26)/Inputs!$C26))</f>
        <v>0</v>
      </c>
      <c r="F21" s="18">
        <f>(Cash_Flows!X27*1.0)/(Cash_Flows!W27*(1+(140-Inputs!$C26)/Inputs!$C26))</f>
        <v>0</v>
      </c>
      <c r="G21" s="18">
        <f>(Cash_Flows!X27*1.1)/(Cash_Flows!W27*(1+(140-Inputs!$C26)/Inputs!$C26))</f>
        <v>0</v>
      </c>
      <c r="H21" s="18">
        <f>(Cash_Flows!X27*1.2)/(Cash_Flows!W27*(1+(140-Inputs!$C26)/Inputs!$C26))</f>
        <v>0</v>
      </c>
      <c r="I21" s="18">
        <f>(Cash_Flows!X27*1.3)/(Cash_Flows!W27*(1+(140-Inputs!$C26)/Inputs!$C26))</f>
        <v>0</v>
      </c>
    </row>
    <row r="22" spans="2:12">
      <c r="B22" s="3" t="s">
        <v>247</v>
      </c>
      <c r="C22" s="18">
        <f>(Cash_Flows!X27*0.7)/(Cash_Flows!W27*(1+(160-Inputs!$C26)/Inputs!$C26))</f>
        <v>0</v>
      </c>
      <c r="D22" s="18">
        <f>(Cash_Flows!X27*0.8)/(Cash_Flows!W27*(1+(160-Inputs!$C26)/Inputs!$C26))</f>
        <v>0</v>
      </c>
      <c r="E22" s="18">
        <f>(Cash_Flows!X27*0.9)/(Cash_Flows!W27*(1+(160-Inputs!$C26)/Inputs!$C26))</f>
        <v>0</v>
      </c>
      <c r="F22" s="18">
        <f>(Cash_Flows!X27*1.0)/(Cash_Flows!W27*(1+(160-Inputs!$C26)/Inputs!$C26))</f>
        <v>0</v>
      </c>
      <c r="G22" s="18">
        <f>(Cash_Flows!X27*1.1)/(Cash_Flows!W27*(1+(160-Inputs!$C26)/Inputs!$C26))</f>
        <v>0</v>
      </c>
      <c r="H22" s="18">
        <f>(Cash_Flows!X27*1.2)/(Cash_Flows!W27*(1+(160-Inputs!$C26)/Inputs!$C26))</f>
        <v>0</v>
      </c>
      <c r="I22" s="18">
        <f>(Cash_Flows!X27*1.3)/(Cash_Flows!W27*(1+(160-Inputs!$C26)/Inputs!$C26))</f>
        <v>0</v>
      </c>
    </row>
    <row r="23" spans="2:12">
      <c r="B23" s="3" t="s">
        <v>248</v>
      </c>
      <c r="C23" s="18">
        <f>(Cash_Flows!X27*0.7)/(Cash_Flows!W27*(1+(180-Inputs!$C26)/Inputs!$C26))</f>
        <v>0</v>
      </c>
      <c r="D23" s="18">
        <f>(Cash_Flows!X27*0.8)/(Cash_Flows!W27*(1+(180-Inputs!$C26)/Inputs!$C26))</f>
        <v>0</v>
      </c>
      <c r="E23" s="18">
        <f>(Cash_Flows!X27*0.9)/(Cash_Flows!W27*(1+(180-Inputs!$C26)/Inputs!$C26))</f>
        <v>0</v>
      </c>
      <c r="F23" s="18">
        <f>(Cash_Flows!X27*1.0)/(Cash_Flows!W27*(1+(180-Inputs!$C26)/Inputs!$C26))</f>
        <v>0</v>
      </c>
      <c r="G23" s="18">
        <f>(Cash_Flows!X27*1.1)/(Cash_Flows!W27*(1+(180-Inputs!$C26)/Inputs!$C26))</f>
        <v>0</v>
      </c>
      <c r="H23" s="18">
        <f>(Cash_Flows!X27*1.2)/(Cash_Flows!W27*(1+(180-Inputs!$C26)/Inputs!$C26))</f>
        <v>0</v>
      </c>
      <c r="I23" s="18">
        <f>(Cash_Flows!X27*1.3)/(Cash_Flows!W27*(1+(180-Inputs!$C26)/Inputs!$C26))</f>
        <v>0</v>
      </c>
    </row>
    <row r="24" spans="2:12">
      <c r="B24" s="3" t="s">
        <v>249</v>
      </c>
      <c r="C24" s="18">
        <f>(Cash_Flows!X27*0.7)/(Cash_Flows!W27*(1+(200-Inputs!$C26)/Inputs!$C26))</f>
        <v>0</v>
      </c>
      <c r="D24" s="18">
        <f>(Cash_Flows!X27*0.8)/(Cash_Flows!W27*(1+(200-Inputs!$C26)/Inputs!$C26))</f>
        <v>0</v>
      </c>
      <c r="E24" s="18">
        <f>(Cash_Flows!X27*0.9)/(Cash_Flows!W27*(1+(200-Inputs!$C26)/Inputs!$C26))</f>
        <v>0</v>
      </c>
      <c r="F24" s="18">
        <f>(Cash_Flows!X27*1.0)/(Cash_Flows!W27*(1+(200-Inputs!$C26)/Inputs!$C26))</f>
        <v>0</v>
      </c>
      <c r="G24" s="18">
        <f>(Cash_Flows!X27*1.1)/(Cash_Flows!W27*(1+(200-Inputs!$C26)/Inputs!$C26))</f>
        <v>0</v>
      </c>
      <c r="H24" s="18">
        <f>(Cash_Flows!X27*1.2)/(Cash_Flows!W27*(1+(200-Inputs!$C26)/Inputs!$C26))</f>
        <v>0</v>
      </c>
      <c r="I24" s="18">
        <f>(Cash_Flows!X27*1.3)/(Cash_Flows!W27*(1+(200-Inputs!$C26)/Inputs!$C26))</f>
        <v>0</v>
      </c>
    </row>
    <row r="25" spans="2:12">
      <c r="B25" s="3" t="s">
        <v>250</v>
      </c>
      <c r="C25" s="18">
        <f>(Cash_Flows!X27*0.7)/(Cash_Flows!W27*(1+(220-Inputs!$C26)/Inputs!$C26))</f>
        <v>0</v>
      </c>
      <c r="D25" s="18">
        <f>(Cash_Flows!X27*0.8)/(Cash_Flows!W27*(1+(220-Inputs!$C26)/Inputs!$C26))</f>
        <v>0</v>
      </c>
      <c r="E25" s="18">
        <f>(Cash_Flows!X27*0.9)/(Cash_Flows!W27*(1+(220-Inputs!$C26)/Inputs!$C26))</f>
        <v>0</v>
      </c>
      <c r="F25" s="18">
        <f>(Cash_Flows!X27*1.0)/(Cash_Flows!W27*(1+(220-Inputs!$C26)/Inputs!$C26))</f>
        <v>0</v>
      </c>
      <c r="G25" s="18">
        <f>(Cash_Flows!X27*1.1)/(Cash_Flows!W27*(1+(220-Inputs!$C26)/Inputs!$C26))</f>
        <v>0</v>
      </c>
      <c r="H25" s="18">
        <f>(Cash_Flows!X27*1.2)/(Cash_Flows!W27*(1+(220-Inputs!$C26)/Inputs!$C26))</f>
        <v>0</v>
      </c>
      <c r="I25" s="18">
        <f>(Cash_Flows!X27*1.3)/(Cash_Flows!W27*(1+(220-Inputs!$C26)/Inputs!$C26))</f>
        <v>0</v>
      </c>
    </row>
    <row r="28" spans="2:12">
      <c r="B28" s="2" t="s">
        <v>252</v>
      </c>
      <c r="C28" s="2"/>
      <c r="D28" s="2"/>
      <c r="E28" s="2"/>
    </row>
    <row r="29" spans="2:12">
      <c r="B29" s="9" t="s">
        <v>253</v>
      </c>
      <c r="C29" s="9" t="s">
        <v>254</v>
      </c>
      <c r="D29" s="9" t="s">
        <v>255</v>
      </c>
      <c r="E29" s="9" t="s">
        <v>256</v>
      </c>
    </row>
    <row r="30" spans="2:12">
      <c r="B30" t="s">
        <v>39</v>
      </c>
      <c r="C30">
        <f>Inputs!C26</f>
        <v>0</v>
      </c>
      <c r="D30" s="16">
        <f>Results!C12-(Calculations!C9*0.2/(1+Inputs!C16)^0)</f>
        <v>0</v>
      </c>
      <c r="E30" s="16">
        <f>Results!C12+(Calculations!C9*0.2/(1+Inputs!C16)^0)</f>
        <v>0</v>
      </c>
    </row>
    <row r="31" spans="2:12">
      <c r="B31" t="s">
        <v>163</v>
      </c>
      <c r="C31">
        <f>Cash_Flows!X27</f>
        <v>0</v>
      </c>
      <c r="D31" s="16">
        <f>Results!C12-Cash_Flows!X27*0.2</f>
        <v>0</v>
      </c>
      <c r="E31" s="16">
        <f>Results!C12+Cash_Flows!X27*0.2</f>
        <v>0</v>
      </c>
    </row>
    <row r="32" spans="2:12">
      <c r="B32" t="s">
        <v>257</v>
      </c>
      <c r="C32">
        <f>Inputs!C16</f>
        <v>0</v>
      </c>
      <c r="D32" s="16">
        <f>Results!C12*1.15</f>
        <v>0</v>
      </c>
      <c r="E32" s="16">
        <f>Results!C12*0.85</f>
        <v>0</v>
      </c>
    </row>
    <row r="33" spans="2:12">
      <c r="B33" t="s">
        <v>36</v>
      </c>
      <c r="C33">
        <f>Inputs!C24</f>
        <v>0</v>
      </c>
      <c r="D33" s="16">
        <f>Results!C12*0.85</f>
        <v>0</v>
      </c>
      <c r="E33" s="16">
        <f>Results!C12*1.15</f>
        <v>0</v>
      </c>
    </row>
    <row r="36" spans="2:12">
      <c r="B36" s="2" t="s">
        <v>258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>
      <c r="B37" s="5" t="s">
        <v>259</v>
      </c>
    </row>
    <row r="38" spans="2:12">
      <c r="B38" s="5" t="s">
        <v>260</v>
      </c>
    </row>
    <row r="39" spans="2:12">
      <c r="B39" s="5" t="s">
        <v>261</v>
      </c>
    </row>
    <row r="40" spans="2:12">
      <c r="B40" s="5" t="s">
        <v>262</v>
      </c>
    </row>
    <row r="41" spans="2:12">
      <c r="B41" s="5" t="s">
        <v>263</v>
      </c>
    </row>
  </sheetData>
  <mergeCells count="6">
    <mergeCell ref="B2:L2"/>
    <mergeCell ref="B4:L4"/>
    <mergeCell ref="B6:L6"/>
    <mergeCell ref="B17:L17"/>
    <mergeCell ref="B28:E28"/>
    <mergeCell ref="B36:L36"/>
  </mergeCells>
  <conditionalFormatting sqref="C19:I19">
    <cfRule type="cellIs" dxfId="0" priority="1" operator="greaterThanOrEqual">
      <formula>1.5</formula>
    </cfRule>
    <cfRule type="cellIs" dxfId="1" priority="2" operator="between">
      <formula>1</formula>
      <formula>1.5</formula>
    </cfRule>
    <cfRule type="cellIs" dxfId="2" priority="3" operator="lessThan">
      <formula>1</formula>
    </cfRule>
  </conditionalFormatting>
  <conditionalFormatting sqref="C20:I20">
    <cfRule type="cellIs" dxfId="0" priority="4" operator="greaterThanOrEqual">
      <formula>1.5</formula>
    </cfRule>
    <cfRule type="cellIs" dxfId="1" priority="5" operator="between">
      <formula>1</formula>
      <formula>1.5</formula>
    </cfRule>
    <cfRule type="cellIs" dxfId="2" priority="6" operator="lessThan">
      <formula>1</formula>
    </cfRule>
  </conditionalFormatting>
  <conditionalFormatting sqref="C21:I21">
    <cfRule type="cellIs" dxfId="0" priority="7" operator="greaterThanOrEqual">
      <formula>1.5</formula>
    </cfRule>
    <cfRule type="cellIs" dxfId="1" priority="8" operator="between">
      <formula>1</formula>
      <formula>1.5</formula>
    </cfRule>
    <cfRule type="cellIs" dxfId="2" priority="9" operator="lessThan">
      <formula>1</formula>
    </cfRule>
  </conditionalFormatting>
  <conditionalFormatting sqref="C22:I22">
    <cfRule type="cellIs" dxfId="0" priority="10" operator="greaterThanOrEqual">
      <formula>1.5</formula>
    </cfRule>
    <cfRule type="cellIs" dxfId="1" priority="11" operator="between">
      <formula>1</formula>
      <formula>1.5</formula>
    </cfRule>
    <cfRule type="cellIs" dxfId="2" priority="12" operator="lessThan">
      <formula>1</formula>
    </cfRule>
  </conditionalFormatting>
  <conditionalFormatting sqref="C23:I23">
    <cfRule type="cellIs" dxfId="0" priority="13" operator="greaterThanOrEqual">
      <formula>1.5</formula>
    </cfRule>
    <cfRule type="cellIs" dxfId="1" priority="14" operator="between">
      <formula>1</formula>
      <formula>1.5</formula>
    </cfRule>
    <cfRule type="cellIs" dxfId="2" priority="15" operator="lessThan">
      <formula>1</formula>
    </cfRule>
  </conditionalFormatting>
  <conditionalFormatting sqref="C24:I24">
    <cfRule type="cellIs" dxfId="0" priority="16" operator="greaterThanOrEqual">
      <formula>1.5</formula>
    </cfRule>
    <cfRule type="cellIs" dxfId="1" priority="17" operator="between">
      <formula>1</formula>
      <formula>1.5</formula>
    </cfRule>
    <cfRule type="cellIs" dxfId="2" priority="18" operator="lessThan">
      <formula>1</formula>
    </cfRule>
  </conditionalFormatting>
  <conditionalFormatting sqref="C25:I25">
    <cfRule type="cellIs" dxfId="0" priority="19" operator="greaterThanOrEqual">
      <formula>1.5</formula>
    </cfRule>
    <cfRule type="cellIs" dxfId="1" priority="20" operator="between">
      <formula>1</formula>
      <formula>1.5</formula>
    </cfRule>
    <cfRule type="cellIs" dxfId="2" priority="21" operator="less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B39"/>
  <sheetViews>
    <sheetView workbookViewId="0"/>
  </sheetViews>
  <sheetFormatPr defaultRowHeight="15"/>
  <cols>
    <col min="1" max="1" width="3.7109375" customWidth="1"/>
    <col min="2" max="2" width="90.7109375" customWidth="1"/>
  </cols>
  <sheetData>
    <row r="2" spans="2:2">
      <c r="B2" s="1" t="s">
        <v>264</v>
      </c>
    </row>
    <row r="4" spans="2:2">
      <c r="B4" s="2" t="s">
        <v>265</v>
      </c>
    </row>
    <row r="5" spans="2:2" ht="45" customHeight="1">
      <c r="B5" s="19" t="s">
        <v>266</v>
      </c>
    </row>
    <row r="7" spans="2:2">
      <c r="B7" s="2" t="s">
        <v>194</v>
      </c>
    </row>
    <row r="8" spans="2:2">
      <c r="B8" s="3" t="s">
        <v>217</v>
      </c>
    </row>
    <row r="9" spans="2:2">
      <c r="B9" s="5" t="s">
        <v>267</v>
      </c>
    </row>
    <row r="10" spans="2:2">
      <c r="B10" t="s">
        <v>268</v>
      </c>
    </row>
    <row r="12" spans="2:2">
      <c r="B12" s="3" t="s">
        <v>215</v>
      </c>
    </row>
    <row r="13" spans="2:2">
      <c r="B13" s="5" t="s">
        <v>269</v>
      </c>
    </row>
    <row r="14" spans="2:2">
      <c r="B14" t="s">
        <v>270</v>
      </c>
    </row>
    <row r="16" spans="2:2">
      <c r="B16" s="3" t="s">
        <v>219</v>
      </c>
    </row>
    <row r="17" spans="2:2">
      <c r="B17" s="5" t="s">
        <v>271</v>
      </c>
    </row>
    <row r="18" spans="2:2">
      <c r="B18" t="s">
        <v>272</v>
      </c>
    </row>
    <row r="20" spans="2:2">
      <c r="B20" s="3" t="s">
        <v>273</v>
      </c>
    </row>
    <row r="21" spans="2:2">
      <c r="B21" s="5" t="s">
        <v>274</v>
      </c>
    </row>
    <row r="22" spans="2:2">
      <c r="B22" t="s">
        <v>275</v>
      </c>
    </row>
    <row r="24" spans="2:2">
      <c r="B24" s="3" t="s">
        <v>276</v>
      </c>
    </row>
    <row r="25" spans="2:2">
      <c r="B25" s="5" t="s">
        <v>277</v>
      </c>
    </row>
    <row r="26" spans="2:2">
      <c r="B26" t="s">
        <v>278</v>
      </c>
    </row>
    <row r="28" spans="2:2">
      <c r="B28" s="2" t="s">
        <v>279</v>
      </c>
    </row>
    <row r="29" spans="2:2">
      <c r="B29" s="19" t="s">
        <v>280</v>
      </c>
    </row>
    <row r="30" spans="2:2">
      <c r="B30" s="19" t="s">
        <v>281</v>
      </c>
    </row>
    <row r="31" spans="2:2">
      <c r="B31" s="19" t="s">
        <v>282</v>
      </c>
    </row>
    <row r="32" spans="2:2">
      <c r="B32" s="19" t="s">
        <v>283</v>
      </c>
    </row>
    <row r="33" spans="2:2">
      <c r="B33" s="19" t="s">
        <v>284</v>
      </c>
    </row>
    <row r="34" spans="2:2">
      <c r="B34" s="19" t="s">
        <v>285</v>
      </c>
    </row>
    <row r="35" spans="2:2">
      <c r="B35" s="19" t="s">
        <v>286</v>
      </c>
    </row>
    <row r="36" spans="2:2">
      <c r="B36" s="19" t="s">
        <v>287</v>
      </c>
    </row>
    <row r="38" spans="2:2">
      <c r="B38" s="2" t="s">
        <v>288</v>
      </c>
    </row>
    <row r="39" spans="2:2" ht="45" customHeight="1">
      <c r="B39" s="19" t="s">
        <v>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cols>
    <col min="1" max="1" width="35.7109375" customWidth="1"/>
    <col min="2" max="4" width="18.7109375" customWidth="1"/>
  </cols>
  <sheetData>
    <row r="1" spans="1:4">
      <c r="A1" s="1" t="s">
        <v>290</v>
      </c>
    </row>
    <row r="3" spans="1:4">
      <c r="A3" s="9" t="s">
        <v>253</v>
      </c>
      <c r="B3" s="9" t="s">
        <v>291</v>
      </c>
      <c r="C3" s="9" t="s">
        <v>292</v>
      </c>
      <c r="D3" s="9" t="s">
        <v>293</v>
      </c>
    </row>
    <row r="4" spans="1:4">
      <c r="A4" t="s">
        <v>39</v>
      </c>
      <c r="B4">
        <v>160</v>
      </c>
      <c r="C4">
        <v>145</v>
      </c>
      <c r="D4">
        <v>155</v>
      </c>
    </row>
    <row r="5" spans="1:4">
      <c r="A5" t="s">
        <v>294</v>
      </c>
      <c r="B5">
        <v>25</v>
      </c>
      <c r="C5">
        <v>22</v>
      </c>
      <c r="D5">
        <v>26</v>
      </c>
    </row>
    <row r="6" spans="1:4">
      <c r="A6" t="s">
        <v>45</v>
      </c>
      <c r="B6">
        <v>0</v>
      </c>
      <c r="C6">
        <v>0.5</v>
      </c>
      <c r="D6">
        <v>0</v>
      </c>
    </row>
    <row r="7" spans="1:4">
      <c r="A7" t="s">
        <v>295</v>
      </c>
      <c r="B7">
        <v>55</v>
      </c>
      <c r="C7">
        <v>50</v>
      </c>
      <c r="D7">
        <v>52</v>
      </c>
    </row>
    <row r="8" spans="1:4">
      <c r="A8" t="s">
        <v>50</v>
      </c>
      <c r="B8">
        <v>10</v>
      </c>
      <c r="C8">
        <v>8</v>
      </c>
      <c r="D8">
        <v>12</v>
      </c>
    </row>
    <row r="9" spans="1:4">
      <c r="A9" t="s">
        <v>53</v>
      </c>
      <c r="B9">
        <v>30</v>
      </c>
      <c r="C9">
        <v>35</v>
      </c>
      <c r="D9">
        <v>25</v>
      </c>
    </row>
    <row r="10" spans="1:4">
      <c r="A10" t="s">
        <v>296</v>
      </c>
      <c r="B10" t="s">
        <v>297</v>
      </c>
      <c r="C10" t="s">
        <v>297</v>
      </c>
      <c r="D10" t="s">
        <v>297</v>
      </c>
    </row>
    <row r="11" spans="1:4">
      <c r="A11" t="s">
        <v>298</v>
      </c>
      <c r="B11" t="s">
        <v>299</v>
      </c>
      <c r="C11" t="s">
        <v>300</v>
      </c>
      <c r="D11" t="s">
        <v>299</v>
      </c>
    </row>
    <row r="12" spans="1:4">
      <c r="A12" t="s">
        <v>301</v>
      </c>
      <c r="B12" t="s">
        <v>302</v>
      </c>
      <c r="C12" t="s">
        <v>303</v>
      </c>
      <c r="D12" t="s">
        <v>302</v>
      </c>
    </row>
    <row r="13" spans="1:4">
      <c r="A13" t="s">
        <v>32</v>
      </c>
      <c r="B13">
        <v>6000</v>
      </c>
      <c r="C13">
        <v>6500</v>
      </c>
      <c r="D13">
        <v>6000</v>
      </c>
    </row>
    <row r="14" spans="1:4">
      <c r="A14" t="s">
        <v>36</v>
      </c>
      <c r="B14">
        <v>1</v>
      </c>
      <c r="C14">
        <v>1</v>
      </c>
      <c r="D14">
        <v>1</v>
      </c>
    </row>
    <row r="15" spans="1:4">
      <c r="A15" t="s">
        <v>304</v>
      </c>
      <c r="B15" t="s">
        <v>305</v>
      </c>
      <c r="C15" t="s">
        <v>297</v>
      </c>
      <c r="D15" t="s">
        <v>306</v>
      </c>
    </row>
    <row r="17" spans="1:4">
      <c r="A17" s="3" t="s">
        <v>307</v>
      </c>
    </row>
    <row r="18" spans="1:4">
      <c r="A18" t="s">
        <v>308</v>
      </c>
      <c r="B18" t="s">
        <v>309</v>
      </c>
      <c r="C18" t="s">
        <v>309</v>
      </c>
      <c r="D18" t="s">
        <v>309</v>
      </c>
    </row>
    <row r="19" spans="1:4">
      <c r="A19" t="s">
        <v>310</v>
      </c>
      <c r="B19" t="s">
        <v>311</v>
      </c>
      <c r="C19" t="s">
        <v>311</v>
      </c>
      <c r="D19" t="s">
        <v>297</v>
      </c>
    </row>
    <row r="21" spans="1:4">
      <c r="A21" s="3" t="s">
        <v>312</v>
      </c>
    </row>
    <row r="22" spans="1:4">
      <c r="A22" t="s">
        <v>64</v>
      </c>
      <c r="B22">
        <v>100</v>
      </c>
      <c r="C22">
        <v>90</v>
      </c>
      <c r="D22">
        <v>120</v>
      </c>
    </row>
    <row r="23" spans="1:4">
      <c r="A23" t="s">
        <v>66</v>
      </c>
      <c r="B23">
        <v>10</v>
      </c>
      <c r="C23">
        <v>8</v>
      </c>
      <c r="D23">
        <v>15</v>
      </c>
    </row>
    <row r="24" spans="1:4">
      <c r="A24" t="s">
        <v>68</v>
      </c>
      <c r="B24">
        <v>15</v>
      </c>
      <c r="C24">
        <v>12</v>
      </c>
      <c r="D24">
        <v>20</v>
      </c>
    </row>
    <row r="25" spans="1:4">
      <c r="A25" t="s">
        <v>313</v>
      </c>
      <c r="B25" t="s">
        <v>314</v>
      </c>
      <c r="C25" t="s">
        <v>314</v>
      </c>
      <c r="D25" t="s">
        <v>314</v>
      </c>
    </row>
    <row r="26" spans="1:4">
      <c r="A26" t="s">
        <v>72</v>
      </c>
      <c r="B26" t="s">
        <v>315</v>
      </c>
      <c r="C26" t="s">
        <v>315</v>
      </c>
      <c r="D26" t="s">
        <v>316</v>
      </c>
    </row>
    <row r="28" spans="1:4">
      <c r="A28" s="3" t="s">
        <v>317</v>
      </c>
    </row>
    <row r="29" spans="1:4">
      <c r="A29" t="s">
        <v>318</v>
      </c>
      <c r="B29" t="s">
        <v>319</v>
      </c>
      <c r="C29" t="s">
        <v>320</v>
      </c>
      <c r="D29" t="s">
        <v>321</v>
      </c>
    </row>
    <row r="30" spans="1:4">
      <c r="A30" t="s">
        <v>322</v>
      </c>
      <c r="B30" t="s">
        <v>323</v>
      </c>
      <c r="C30" t="s">
        <v>324</v>
      </c>
      <c r="D30" t="s">
        <v>325</v>
      </c>
    </row>
    <row r="31" spans="1:4">
      <c r="A31" t="s">
        <v>79</v>
      </c>
      <c r="B31">
        <v>15</v>
      </c>
      <c r="C31">
        <v>15</v>
      </c>
      <c r="D31">
        <v>20</v>
      </c>
    </row>
    <row r="32" spans="1:4">
      <c r="A32" t="s">
        <v>326</v>
      </c>
      <c r="B32" t="s">
        <v>297</v>
      </c>
      <c r="C32" t="s">
        <v>305</v>
      </c>
      <c r="D32" t="s">
        <v>327</v>
      </c>
    </row>
    <row r="33" spans="1:4">
      <c r="A33" t="s">
        <v>328</v>
      </c>
      <c r="B33" t="s">
        <v>329</v>
      </c>
      <c r="C33" t="s">
        <v>329</v>
      </c>
      <c r="D33" t="s">
        <v>329</v>
      </c>
    </row>
    <row r="34" spans="1:4">
      <c r="A34" t="s">
        <v>85</v>
      </c>
      <c r="B34" t="s">
        <v>330</v>
      </c>
      <c r="C34" t="s">
        <v>331</v>
      </c>
      <c r="D34" t="s">
        <v>332</v>
      </c>
    </row>
    <row r="36" spans="1:4">
      <c r="A36" s="3" t="s">
        <v>333</v>
      </c>
    </row>
    <row r="37" spans="1:4">
      <c r="A37" t="s">
        <v>334</v>
      </c>
      <c r="B37" s="16">
        <v>150</v>
      </c>
      <c r="C37" s="16">
        <v>140</v>
      </c>
      <c r="D37" s="16">
        <v>180</v>
      </c>
    </row>
    <row r="38" spans="1:4">
      <c r="A38" t="s">
        <v>335</v>
      </c>
      <c r="B38" s="16">
        <v>40</v>
      </c>
      <c r="C38" s="16">
        <v>45</v>
      </c>
      <c r="D38" s="16">
        <v>35</v>
      </c>
    </row>
    <row r="39" spans="1:4">
      <c r="A39" t="s">
        <v>336</v>
      </c>
      <c r="B39" s="16">
        <v>15</v>
      </c>
      <c r="C39" s="16">
        <v>12</v>
      </c>
      <c r="D39" s="16">
        <v>10</v>
      </c>
    </row>
    <row r="40" spans="1:4">
      <c r="A40" t="s">
        <v>337</v>
      </c>
      <c r="B40" s="16">
        <v>25</v>
      </c>
      <c r="C40" s="16">
        <v>20</v>
      </c>
      <c r="D40" s="16">
        <v>25</v>
      </c>
    </row>
    <row r="41" spans="1:4">
      <c r="A41" t="s">
        <v>338</v>
      </c>
      <c r="B41" s="16">
        <v>50</v>
      </c>
      <c r="C41" s="16">
        <v>45</v>
      </c>
      <c r="D41" s="16">
        <v>60</v>
      </c>
    </row>
    <row r="42" spans="1:4">
      <c r="A42" t="s">
        <v>339</v>
      </c>
      <c r="B42" s="16">
        <v>25</v>
      </c>
      <c r="C42" s="16">
        <v>20</v>
      </c>
      <c r="D42" s="16">
        <v>30</v>
      </c>
    </row>
    <row r="43" spans="1:4">
      <c r="A43" t="s">
        <v>340</v>
      </c>
      <c r="B43" s="16">
        <v>15</v>
      </c>
      <c r="C43" s="16">
        <v>12</v>
      </c>
      <c r="D43" s="16">
        <v>20</v>
      </c>
    </row>
    <row r="44" spans="1:4">
      <c r="A44" t="s">
        <v>341</v>
      </c>
      <c r="B44" s="16">
        <v>8</v>
      </c>
      <c r="C44" s="16">
        <v>6</v>
      </c>
      <c r="D44" s="16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C492"/>
  <sheetViews>
    <sheetView workbookViewId="0"/>
  </sheetViews>
  <sheetFormatPr defaultRowHeight="15"/>
  <cols>
    <col min="1" max="1" width="3.7109375" customWidth="1"/>
    <col min="2" max="2" width="100.7109375" customWidth="1"/>
    <col min="3" max="3" width="15.7109375" customWidth="1"/>
  </cols>
  <sheetData>
    <row r="1" spans="2:3">
      <c r="B1" s="1" t="s">
        <v>342</v>
      </c>
      <c r="C1" s="1"/>
    </row>
    <row r="3" spans="2:3">
      <c r="B3" s="2" t="s">
        <v>343</v>
      </c>
      <c r="C3" s="2"/>
    </row>
    <row r="4" spans="2:3">
      <c r="B4" s="20" t="s">
        <v>344</v>
      </c>
      <c r="C4" t="s">
        <v>345</v>
      </c>
    </row>
    <row r="5" spans="2:3">
      <c r="B5" s="5" t="s">
        <v>346</v>
      </c>
    </row>
    <row r="6" spans="2:3">
      <c r="B6" s="20" t="s">
        <v>347</v>
      </c>
      <c r="C6" t="s">
        <v>348</v>
      </c>
    </row>
    <row r="7" spans="2:3">
      <c r="B7" s="5" t="s">
        <v>349</v>
      </c>
    </row>
    <row r="8" spans="2:3">
      <c r="B8" s="20" t="s">
        <v>350</v>
      </c>
      <c r="C8" t="s">
        <v>351</v>
      </c>
    </row>
    <row r="9" spans="2:3">
      <c r="B9" s="5" t="s">
        <v>352</v>
      </c>
    </row>
    <row r="10" spans="2:3">
      <c r="B10" s="20" t="s">
        <v>353</v>
      </c>
      <c r="C10" t="s">
        <v>354</v>
      </c>
    </row>
    <row r="11" spans="2:3">
      <c r="B11" s="5" t="s">
        <v>355</v>
      </c>
    </row>
    <row r="12" spans="2:3">
      <c r="B12" s="20" t="s">
        <v>356</v>
      </c>
      <c r="C12" t="s">
        <v>357</v>
      </c>
    </row>
    <row r="13" spans="2:3">
      <c r="B13" s="20" t="s">
        <v>358</v>
      </c>
      <c r="C13" t="s">
        <v>359</v>
      </c>
    </row>
    <row r="14" spans="2:3">
      <c r="B14" s="5" t="s">
        <v>360</v>
      </c>
    </row>
    <row r="15" spans="2:3">
      <c r="B15" s="5" t="s">
        <v>361</v>
      </c>
    </row>
    <row r="16" spans="2:3">
      <c r="B16" s="20" t="s">
        <v>362</v>
      </c>
      <c r="C16" t="s">
        <v>363</v>
      </c>
    </row>
    <row r="19" spans="2:3">
      <c r="B19" s="2" t="s">
        <v>364</v>
      </c>
      <c r="C19" s="2"/>
    </row>
    <row r="21" spans="2:3">
      <c r="B21" s="21" t="s">
        <v>365</v>
      </c>
    </row>
    <row r="22" spans="2:3">
      <c r="B22" s="21"/>
    </row>
    <row r="23" spans="2:3">
      <c r="B23" s="21" t="s">
        <v>366</v>
      </c>
    </row>
    <row r="24" spans="2:3">
      <c r="B24" s="21" t="s">
        <v>367</v>
      </c>
    </row>
    <row r="25" spans="2:3">
      <c r="B25" s="21" t="s">
        <v>368</v>
      </c>
    </row>
    <row r="26" spans="2:3">
      <c r="B26" s="21" t="s">
        <v>369</v>
      </c>
    </row>
    <row r="27" spans="2:3">
      <c r="B27" s="21" t="s">
        <v>370</v>
      </c>
    </row>
    <row r="28" spans="2:3">
      <c r="B28" s="21" t="s">
        <v>371</v>
      </c>
    </row>
    <row r="29" spans="2:3">
      <c r="B29" s="21" t="s">
        <v>372</v>
      </c>
    </row>
    <row r="30" spans="2:3">
      <c r="B30" s="21" t="s">
        <v>373</v>
      </c>
    </row>
    <row r="31" spans="2:3">
      <c r="B31" s="21" t="s">
        <v>374</v>
      </c>
    </row>
    <row r="32" spans="2:3">
      <c r="B32" s="21" t="s">
        <v>375</v>
      </c>
    </row>
    <row r="33" spans="2:2">
      <c r="B33" s="21" t="s">
        <v>376</v>
      </c>
    </row>
    <row r="34" spans="2:2">
      <c r="B34" s="21" t="s">
        <v>377</v>
      </c>
    </row>
    <row r="35" spans="2:2">
      <c r="B35" s="21" t="s">
        <v>378</v>
      </c>
    </row>
    <row r="36" spans="2:2">
      <c r="B36" s="21" t="s">
        <v>379</v>
      </c>
    </row>
    <row r="37" spans="2:2">
      <c r="B37" s="21" t="s">
        <v>380</v>
      </c>
    </row>
    <row r="38" spans="2:2">
      <c r="B38" s="21" t="s">
        <v>381</v>
      </c>
    </row>
    <row r="39" spans="2:2">
      <c r="B39" s="21" t="s">
        <v>382</v>
      </c>
    </row>
    <row r="40" spans="2:2">
      <c r="B40" s="21" t="s">
        <v>383</v>
      </c>
    </row>
    <row r="41" spans="2:2">
      <c r="B41" s="21" t="s">
        <v>366</v>
      </c>
    </row>
    <row r="42" spans="2:2">
      <c r="B42" s="21"/>
    </row>
    <row r="43" spans="2:2">
      <c r="B43" s="21" t="s">
        <v>384</v>
      </c>
    </row>
    <row r="44" spans="2:2">
      <c r="B44" s="21" t="s">
        <v>385</v>
      </c>
    </row>
    <row r="45" spans="2:2">
      <c r="B45" s="21" t="s">
        <v>386</v>
      </c>
    </row>
    <row r="46" spans="2:2">
      <c r="B46" s="21" t="s">
        <v>385</v>
      </c>
    </row>
    <row r="47" spans="2:2">
      <c r="B47" s="21" t="s">
        <v>387</v>
      </c>
    </row>
    <row r="48" spans="2:2">
      <c r="B48" s="21" t="s">
        <v>388</v>
      </c>
    </row>
    <row r="49" spans="2:2">
      <c r="B49" s="21" t="s">
        <v>389</v>
      </c>
    </row>
    <row r="50" spans="2:2">
      <c r="B50" s="21"/>
    </row>
    <row r="51" spans="2:2">
      <c r="B51" s="21" t="s">
        <v>390</v>
      </c>
    </row>
    <row r="52" spans="2:2">
      <c r="B52" s="21" t="s">
        <v>391</v>
      </c>
    </row>
    <row r="53" spans="2:2">
      <c r="B53" s="21" t="s">
        <v>392</v>
      </c>
    </row>
    <row r="54" spans="2:2">
      <c r="B54" s="21" t="s">
        <v>393</v>
      </c>
    </row>
    <row r="55" spans="2:2">
      <c r="B55" s="21" t="s">
        <v>394</v>
      </c>
    </row>
    <row r="56" spans="2:2">
      <c r="B56" s="21" t="s">
        <v>395</v>
      </c>
    </row>
    <row r="57" spans="2:2">
      <c r="B57" s="21" t="s">
        <v>396</v>
      </c>
    </row>
    <row r="58" spans="2:2">
      <c r="B58" s="21"/>
    </row>
    <row r="59" spans="2:2">
      <c r="B59" s="21" t="s">
        <v>397</v>
      </c>
    </row>
    <row r="60" spans="2:2">
      <c r="B60" s="21" t="s">
        <v>398</v>
      </c>
    </row>
    <row r="61" spans="2:2">
      <c r="B61" s="21" t="s">
        <v>399</v>
      </c>
    </row>
    <row r="62" spans="2:2">
      <c r="B62" s="21" t="s">
        <v>400</v>
      </c>
    </row>
    <row r="63" spans="2:2">
      <c r="B63" s="21" t="s">
        <v>401</v>
      </c>
    </row>
    <row r="64" spans="2:2">
      <c r="B64" s="21" t="s">
        <v>402</v>
      </c>
    </row>
    <row r="65" spans="2:2">
      <c r="B65" s="21" t="s">
        <v>403</v>
      </c>
    </row>
    <row r="66" spans="2:2">
      <c r="B66" s="21" t="s">
        <v>404</v>
      </c>
    </row>
    <row r="67" spans="2:2">
      <c r="B67" s="21"/>
    </row>
    <row r="68" spans="2:2">
      <c r="B68" s="21" t="s">
        <v>405</v>
      </c>
    </row>
    <row r="69" spans="2:2">
      <c r="B69" s="21" t="s">
        <v>406</v>
      </c>
    </row>
    <row r="70" spans="2:2">
      <c r="B70" s="21" t="s">
        <v>407</v>
      </c>
    </row>
    <row r="71" spans="2:2">
      <c r="B71" s="21"/>
    </row>
    <row r="72" spans="2:2">
      <c r="B72" s="21" t="s">
        <v>408</v>
      </c>
    </row>
    <row r="73" spans="2:2">
      <c r="B73" s="21" t="s">
        <v>409</v>
      </c>
    </row>
    <row r="74" spans="2:2">
      <c r="B74" s="21" t="s">
        <v>410</v>
      </c>
    </row>
    <row r="75" spans="2:2">
      <c r="B75" s="21" t="s">
        <v>411</v>
      </c>
    </row>
    <row r="76" spans="2:2">
      <c r="B76" s="21" t="s">
        <v>412</v>
      </c>
    </row>
    <row r="77" spans="2:2">
      <c r="B77" s="21" t="s">
        <v>413</v>
      </c>
    </row>
    <row r="78" spans="2:2">
      <c r="B78" s="21"/>
    </row>
    <row r="79" spans="2:2">
      <c r="B79" s="21" t="s">
        <v>414</v>
      </c>
    </row>
    <row r="80" spans="2:2">
      <c r="B80" s="21" t="s">
        <v>415</v>
      </c>
    </row>
    <row r="81" spans="2:2">
      <c r="B81" s="21" t="s">
        <v>416</v>
      </c>
    </row>
    <row r="82" spans="2:2">
      <c r="B82" s="21" t="s">
        <v>417</v>
      </c>
    </row>
    <row r="83" spans="2:2">
      <c r="B83" s="21" t="s">
        <v>418</v>
      </c>
    </row>
    <row r="84" spans="2:2">
      <c r="B84" s="21" t="s">
        <v>419</v>
      </c>
    </row>
    <row r="85" spans="2:2">
      <c r="B85" s="21"/>
    </row>
    <row r="86" spans="2:2">
      <c r="B86" s="21" t="s">
        <v>420</v>
      </c>
    </row>
    <row r="87" spans="2:2">
      <c r="B87" s="21" t="s">
        <v>421</v>
      </c>
    </row>
    <row r="88" spans="2:2">
      <c r="B88" s="21" t="s">
        <v>422</v>
      </c>
    </row>
    <row r="89" spans="2:2">
      <c r="B89" s="21" t="s">
        <v>423</v>
      </c>
    </row>
    <row r="90" spans="2:2">
      <c r="B90" s="21" t="s">
        <v>424</v>
      </c>
    </row>
    <row r="91" spans="2:2">
      <c r="B91" s="21" t="s">
        <v>425</v>
      </c>
    </row>
    <row r="92" spans="2:2">
      <c r="B92" s="21" t="s">
        <v>426</v>
      </c>
    </row>
    <row r="93" spans="2:2">
      <c r="B93" s="21" t="s">
        <v>427</v>
      </c>
    </row>
    <row r="94" spans="2:2">
      <c r="B94" s="21" t="s">
        <v>428</v>
      </c>
    </row>
    <row r="95" spans="2:2">
      <c r="B95" s="21"/>
    </row>
    <row r="96" spans="2:2">
      <c r="B96" s="21" t="s">
        <v>429</v>
      </c>
    </row>
    <row r="97" spans="2:2">
      <c r="B97" s="21" t="s">
        <v>430</v>
      </c>
    </row>
    <row r="98" spans="2:2">
      <c r="B98" s="21"/>
    </row>
    <row r="99" spans="2:2">
      <c r="B99" s="21" t="s">
        <v>431</v>
      </c>
    </row>
    <row r="100" spans="2:2">
      <c r="B100" s="21" t="s">
        <v>432</v>
      </c>
    </row>
    <row r="101" spans="2:2">
      <c r="B101" s="21" t="s">
        <v>433</v>
      </c>
    </row>
    <row r="102" spans="2:2">
      <c r="B102" s="21"/>
    </row>
    <row r="103" spans="2:2">
      <c r="B103" s="21" t="s">
        <v>434</v>
      </c>
    </row>
    <row r="104" spans="2:2">
      <c r="B104" s="21" t="s">
        <v>435</v>
      </c>
    </row>
    <row r="105" spans="2:2">
      <c r="B105" s="21" t="s">
        <v>436</v>
      </c>
    </row>
    <row r="106" spans="2:2">
      <c r="B106" s="21" t="s">
        <v>437</v>
      </c>
    </row>
    <row r="107" spans="2:2">
      <c r="B107" s="21" t="s">
        <v>438</v>
      </c>
    </row>
    <row r="108" spans="2:2">
      <c r="B108" s="21"/>
    </row>
    <row r="109" spans="2:2">
      <c r="B109" s="21" t="s">
        <v>439</v>
      </c>
    </row>
    <row r="110" spans="2:2">
      <c r="B110" s="21" t="s">
        <v>440</v>
      </c>
    </row>
    <row r="111" spans="2:2">
      <c r="B111" s="21" t="s">
        <v>441</v>
      </c>
    </row>
    <row r="112" spans="2:2">
      <c r="B112" s="21" t="s">
        <v>442</v>
      </c>
    </row>
    <row r="113" spans="2:2">
      <c r="B113" s="21" t="s">
        <v>443</v>
      </c>
    </row>
    <row r="114" spans="2:2">
      <c r="B114" s="21"/>
    </row>
    <row r="115" spans="2:2">
      <c r="B115" s="21" t="s">
        <v>444</v>
      </c>
    </row>
    <row r="116" spans="2:2">
      <c r="B116" s="21" t="s">
        <v>445</v>
      </c>
    </row>
    <row r="117" spans="2:2">
      <c r="B117" s="21" t="s">
        <v>446</v>
      </c>
    </row>
    <row r="118" spans="2:2">
      <c r="B118" s="21" t="s">
        <v>447</v>
      </c>
    </row>
    <row r="119" spans="2:2">
      <c r="B119" s="21" t="s">
        <v>448</v>
      </c>
    </row>
    <row r="120" spans="2:2">
      <c r="B120" s="21"/>
    </row>
    <row r="121" spans="2:2">
      <c r="B121" s="21" t="s">
        <v>449</v>
      </c>
    </row>
    <row r="122" spans="2:2">
      <c r="B122" s="21" t="s">
        <v>450</v>
      </c>
    </row>
    <row r="123" spans="2:2">
      <c r="B123" s="21" t="s">
        <v>451</v>
      </c>
    </row>
    <row r="124" spans="2:2">
      <c r="B124" s="21"/>
    </row>
    <row r="125" spans="2:2">
      <c r="B125" s="21"/>
    </row>
    <row r="126" spans="2:2">
      <c r="B126" s="21" t="s">
        <v>452</v>
      </c>
    </row>
    <row r="127" spans="2:2">
      <c r="B127" s="21" t="s">
        <v>385</v>
      </c>
    </row>
    <row r="128" spans="2:2">
      <c r="B128" s="21" t="s">
        <v>453</v>
      </c>
    </row>
    <row r="129" spans="2:2">
      <c r="B129" s="21" t="s">
        <v>385</v>
      </c>
    </row>
    <row r="130" spans="2:2">
      <c r="B130" s="21" t="s">
        <v>387</v>
      </c>
    </row>
    <row r="131" spans="2:2">
      <c r="B131" s="21" t="s">
        <v>454</v>
      </c>
    </row>
    <row r="132" spans="2:2">
      <c r="B132" s="21"/>
    </row>
    <row r="133" spans="2:2">
      <c r="B133" s="21" t="s">
        <v>455</v>
      </c>
    </row>
    <row r="134" spans="2:2">
      <c r="B134" s="21" t="s">
        <v>391</v>
      </c>
    </row>
    <row r="135" spans="2:2">
      <c r="B135" s="21" t="s">
        <v>456</v>
      </c>
    </row>
    <row r="136" spans="2:2">
      <c r="B136" s="21" t="s">
        <v>457</v>
      </c>
    </row>
    <row r="137" spans="2:2">
      <c r="B137" s="21" t="s">
        <v>458</v>
      </c>
    </row>
    <row r="138" spans="2:2">
      <c r="B138" s="21" t="s">
        <v>395</v>
      </c>
    </row>
    <row r="139" spans="2:2">
      <c r="B139" s="21" t="s">
        <v>396</v>
      </c>
    </row>
    <row r="140" spans="2:2">
      <c r="B140" s="21"/>
    </row>
    <row r="141" spans="2:2">
      <c r="B141" s="21" t="s">
        <v>459</v>
      </c>
    </row>
    <row r="142" spans="2:2">
      <c r="B142" s="21" t="s">
        <v>460</v>
      </c>
    </row>
    <row r="143" spans="2:2">
      <c r="B143" s="21" t="s">
        <v>461</v>
      </c>
    </row>
    <row r="144" spans="2:2">
      <c r="B144" s="21" t="s">
        <v>462</v>
      </c>
    </row>
    <row r="145" spans="2:2">
      <c r="B145" s="21" t="s">
        <v>463</v>
      </c>
    </row>
    <row r="146" spans="2:2">
      <c r="B146" s="21" t="s">
        <v>464</v>
      </c>
    </row>
    <row r="147" spans="2:2">
      <c r="B147" s="21" t="s">
        <v>465</v>
      </c>
    </row>
    <row r="148" spans="2:2">
      <c r="B148" s="21" t="s">
        <v>404</v>
      </c>
    </row>
    <row r="149" spans="2:2">
      <c r="B149" s="21"/>
    </row>
    <row r="150" spans="2:2">
      <c r="B150" s="21" t="s">
        <v>405</v>
      </c>
    </row>
    <row r="151" spans="2:2">
      <c r="B151" s="21" t="s">
        <v>406</v>
      </c>
    </row>
    <row r="152" spans="2:2">
      <c r="B152" s="21" t="s">
        <v>407</v>
      </c>
    </row>
    <row r="153" spans="2:2">
      <c r="B153" s="21"/>
    </row>
    <row r="154" spans="2:2">
      <c r="B154" s="21" t="s">
        <v>466</v>
      </c>
    </row>
    <row r="155" spans="2:2">
      <c r="B155" s="21" t="s">
        <v>467</v>
      </c>
    </row>
    <row r="156" spans="2:2">
      <c r="B156" s="21" t="s">
        <v>468</v>
      </c>
    </row>
    <row r="157" spans="2:2">
      <c r="B157" s="21" t="s">
        <v>469</v>
      </c>
    </row>
    <row r="158" spans="2:2">
      <c r="B158" s="21" t="s">
        <v>412</v>
      </c>
    </row>
    <row r="159" spans="2:2">
      <c r="B159" s="21" t="s">
        <v>413</v>
      </c>
    </row>
    <row r="160" spans="2:2">
      <c r="B160" s="21"/>
    </row>
    <row r="161" spans="2:2">
      <c r="B161" s="21" t="s">
        <v>470</v>
      </c>
    </row>
    <row r="162" spans="2:2">
      <c r="B162" s="21" t="s">
        <v>471</v>
      </c>
    </row>
    <row r="163" spans="2:2">
      <c r="B163" s="21" t="s">
        <v>472</v>
      </c>
    </row>
    <row r="164" spans="2:2">
      <c r="B164" s="21" t="s">
        <v>417</v>
      </c>
    </row>
    <row r="165" spans="2:2">
      <c r="B165" s="21" t="s">
        <v>473</v>
      </c>
    </row>
    <row r="166" spans="2:2">
      <c r="B166" s="21" t="s">
        <v>419</v>
      </c>
    </row>
    <row r="167" spans="2:2">
      <c r="B167" s="21"/>
    </row>
    <row r="168" spans="2:2">
      <c r="B168" s="21" t="s">
        <v>474</v>
      </c>
    </row>
    <row r="169" spans="2:2">
      <c r="B169" s="21" t="s">
        <v>475</v>
      </c>
    </row>
    <row r="170" spans="2:2">
      <c r="B170" s="21" t="s">
        <v>476</v>
      </c>
    </row>
    <row r="171" spans="2:2">
      <c r="B171" s="21" t="s">
        <v>477</v>
      </c>
    </row>
    <row r="172" spans="2:2">
      <c r="B172" s="21" t="s">
        <v>478</v>
      </c>
    </row>
    <row r="173" spans="2:2">
      <c r="B173" s="21" t="s">
        <v>479</v>
      </c>
    </row>
    <row r="174" spans="2:2">
      <c r="B174" s="21" t="s">
        <v>480</v>
      </c>
    </row>
    <row r="175" spans="2:2">
      <c r="B175" s="21" t="s">
        <v>481</v>
      </c>
    </row>
    <row r="176" spans="2:2">
      <c r="B176" s="21" t="s">
        <v>482</v>
      </c>
    </row>
    <row r="177" spans="2:2">
      <c r="B177" s="21"/>
    </row>
    <row r="178" spans="2:2">
      <c r="B178" s="21" t="s">
        <v>429</v>
      </c>
    </row>
    <row r="179" spans="2:2">
      <c r="B179" s="21" t="s">
        <v>483</v>
      </c>
    </row>
    <row r="180" spans="2:2">
      <c r="B180" s="21"/>
    </row>
    <row r="181" spans="2:2">
      <c r="B181" s="21" t="s">
        <v>431</v>
      </c>
    </row>
    <row r="182" spans="2:2">
      <c r="B182" s="21" t="s">
        <v>432</v>
      </c>
    </row>
    <row r="183" spans="2:2">
      <c r="B183" s="21" t="s">
        <v>433</v>
      </c>
    </row>
    <row r="184" spans="2:2">
      <c r="B184" s="21"/>
    </row>
    <row r="185" spans="2:2">
      <c r="B185" s="21" t="s">
        <v>434</v>
      </c>
    </row>
    <row r="186" spans="2:2">
      <c r="B186" s="21" t="s">
        <v>435</v>
      </c>
    </row>
    <row r="187" spans="2:2">
      <c r="B187" s="21" t="s">
        <v>436</v>
      </c>
    </row>
    <row r="188" spans="2:2">
      <c r="B188" s="21" t="s">
        <v>484</v>
      </c>
    </row>
    <row r="189" spans="2:2">
      <c r="B189" s="21" t="s">
        <v>438</v>
      </c>
    </row>
    <row r="190" spans="2:2">
      <c r="B190" s="21"/>
    </row>
    <row r="191" spans="2:2">
      <c r="B191" s="21" t="s">
        <v>439</v>
      </c>
    </row>
    <row r="192" spans="2:2">
      <c r="B192" s="21" t="s">
        <v>440</v>
      </c>
    </row>
    <row r="193" spans="2:2">
      <c r="B193" s="21" t="s">
        <v>441</v>
      </c>
    </row>
    <row r="194" spans="2:2">
      <c r="B194" s="21" t="s">
        <v>442</v>
      </c>
    </row>
    <row r="195" spans="2:2">
      <c r="B195" s="21" t="s">
        <v>443</v>
      </c>
    </row>
    <row r="196" spans="2:2">
      <c r="B196" s="21"/>
    </row>
    <row r="197" spans="2:2">
      <c r="B197" s="21" t="s">
        <v>444</v>
      </c>
    </row>
    <row r="198" spans="2:2">
      <c r="B198" s="21" t="s">
        <v>445</v>
      </c>
    </row>
    <row r="199" spans="2:2">
      <c r="B199" s="21" t="s">
        <v>446</v>
      </c>
    </row>
    <row r="200" spans="2:2">
      <c r="B200" s="21" t="s">
        <v>447</v>
      </c>
    </row>
    <row r="201" spans="2:2">
      <c r="B201" s="21" t="s">
        <v>448</v>
      </c>
    </row>
    <row r="202" spans="2:2">
      <c r="B202" s="21"/>
    </row>
    <row r="203" spans="2:2">
      <c r="B203" s="21" t="s">
        <v>449</v>
      </c>
    </row>
    <row r="204" spans="2:2">
      <c r="B204" s="21" t="s">
        <v>485</v>
      </c>
    </row>
    <row r="205" spans="2:2">
      <c r="B205" s="21" t="s">
        <v>451</v>
      </c>
    </row>
    <row r="206" spans="2:2">
      <c r="B206" s="21"/>
    </row>
    <row r="207" spans="2:2">
      <c r="B207" s="21"/>
    </row>
    <row r="208" spans="2:2">
      <c r="B208" s="21" t="s">
        <v>486</v>
      </c>
    </row>
    <row r="209" spans="2:2">
      <c r="B209" s="21" t="s">
        <v>385</v>
      </c>
    </row>
    <row r="210" spans="2:2">
      <c r="B210" s="21" t="s">
        <v>487</v>
      </c>
    </row>
    <row r="211" spans="2:2">
      <c r="B211" s="21" t="s">
        <v>488</v>
      </c>
    </row>
    <row r="212" spans="2:2">
      <c r="B212" s="21" t="s">
        <v>385</v>
      </c>
    </row>
    <row r="213" spans="2:2">
      <c r="B213" s="21" t="s">
        <v>387</v>
      </c>
    </row>
    <row r="214" spans="2:2">
      <c r="B214" s="21" t="s">
        <v>489</v>
      </c>
    </row>
    <row r="215" spans="2:2">
      <c r="B215" s="21"/>
    </row>
    <row r="216" spans="2:2">
      <c r="B216" s="21" t="s">
        <v>455</v>
      </c>
    </row>
    <row r="217" spans="2:2">
      <c r="B217" s="21" t="s">
        <v>391</v>
      </c>
    </row>
    <row r="218" spans="2:2">
      <c r="B218" s="21" t="s">
        <v>392</v>
      </c>
    </row>
    <row r="219" spans="2:2">
      <c r="B219" s="21" t="s">
        <v>393</v>
      </c>
    </row>
    <row r="220" spans="2:2">
      <c r="B220" s="21" t="s">
        <v>394</v>
      </c>
    </row>
    <row r="221" spans="2:2">
      <c r="B221" s="21" t="s">
        <v>395</v>
      </c>
    </row>
    <row r="222" spans="2:2">
      <c r="B222" s="21" t="s">
        <v>396</v>
      </c>
    </row>
    <row r="223" spans="2:2">
      <c r="B223" s="21"/>
    </row>
    <row r="224" spans="2:2">
      <c r="B224" s="21" t="s">
        <v>459</v>
      </c>
    </row>
    <row r="225" spans="2:2">
      <c r="B225" s="21" t="s">
        <v>490</v>
      </c>
    </row>
    <row r="226" spans="2:2">
      <c r="B226" s="21" t="s">
        <v>491</v>
      </c>
    </row>
    <row r="227" spans="2:2">
      <c r="B227" s="21" t="s">
        <v>400</v>
      </c>
    </row>
    <row r="228" spans="2:2">
      <c r="B228" s="21" t="s">
        <v>492</v>
      </c>
    </row>
    <row r="229" spans="2:2">
      <c r="B229" s="21" t="s">
        <v>493</v>
      </c>
    </row>
    <row r="230" spans="2:2">
      <c r="B230" s="21" t="s">
        <v>494</v>
      </c>
    </row>
    <row r="231" spans="2:2">
      <c r="B231" s="21" t="s">
        <v>404</v>
      </c>
    </row>
    <row r="232" spans="2:2">
      <c r="B232" s="21"/>
    </row>
    <row r="233" spans="2:2">
      <c r="B233" s="21" t="s">
        <v>495</v>
      </c>
    </row>
    <row r="234" spans="2:2">
      <c r="B234" s="21" t="s">
        <v>406</v>
      </c>
    </row>
    <row r="235" spans="2:2">
      <c r="B235" s="21" t="s">
        <v>496</v>
      </c>
    </row>
    <row r="236" spans="2:2">
      <c r="B236" s="21"/>
    </row>
    <row r="237" spans="2:2">
      <c r="B237" s="21" t="s">
        <v>497</v>
      </c>
    </row>
    <row r="238" spans="2:2">
      <c r="B238" s="21" t="s">
        <v>498</v>
      </c>
    </row>
    <row r="239" spans="2:2">
      <c r="B239" s="21" t="s">
        <v>499</v>
      </c>
    </row>
    <row r="240" spans="2:2">
      <c r="B240" s="21" t="s">
        <v>500</v>
      </c>
    </row>
    <row r="241" spans="2:2">
      <c r="B241" s="21" t="s">
        <v>412</v>
      </c>
    </row>
    <row r="242" spans="2:2">
      <c r="B242" s="21" t="s">
        <v>501</v>
      </c>
    </row>
    <row r="243" spans="2:2">
      <c r="B243" s="21"/>
    </row>
    <row r="244" spans="2:2">
      <c r="B244" s="21" t="s">
        <v>502</v>
      </c>
    </row>
    <row r="245" spans="2:2">
      <c r="B245" s="21" t="s">
        <v>503</v>
      </c>
    </row>
    <row r="246" spans="2:2">
      <c r="B246" s="21" t="s">
        <v>504</v>
      </c>
    </row>
    <row r="247" spans="2:2">
      <c r="B247" s="21" t="s">
        <v>505</v>
      </c>
    </row>
    <row r="248" spans="2:2">
      <c r="B248" s="21" t="s">
        <v>506</v>
      </c>
    </row>
    <row r="249" spans="2:2">
      <c r="B249" s="21" t="s">
        <v>419</v>
      </c>
    </row>
    <row r="250" spans="2:2">
      <c r="B250" s="21"/>
    </row>
    <row r="251" spans="2:2">
      <c r="B251" s="21" t="s">
        <v>507</v>
      </c>
    </row>
    <row r="252" spans="2:2">
      <c r="B252" s="21" t="s">
        <v>508</v>
      </c>
    </row>
    <row r="253" spans="2:2">
      <c r="B253" s="21" t="s">
        <v>509</v>
      </c>
    </row>
    <row r="254" spans="2:2">
      <c r="B254" s="21" t="s">
        <v>510</v>
      </c>
    </row>
    <row r="255" spans="2:2">
      <c r="B255" s="21" t="s">
        <v>511</v>
      </c>
    </row>
    <row r="256" spans="2:2">
      <c r="B256" s="21" t="s">
        <v>512</v>
      </c>
    </row>
    <row r="257" spans="2:2">
      <c r="B257" s="21" t="s">
        <v>513</v>
      </c>
    </row>
    <row r="258" spans="2:2">
      <c r="B258" s="21" t="s">
        <v>514</v>
      </c>
    </row>
    <row r="259" spans="2:2">
      <c r="B259" s="21" t="s">
        <v>515</v>
      </c>
    </row>
    <row r="260" spans="2:2">
      <c r="B260" s="21"/>
    </row>
    <row r="261" spans="2:2">
      <c r="B261" s="21" t="s">
        <v>429</v>
      </c>
    </row>
    <row r="262" spans="2:2">
      <c r="B262" s="21" t="s">
        <v>516</v>
      </c>
    </row>
    <row r="263" spans="2:2">
      <c r="B263" s="21"/>
    </row>
    <row r="264" spans="2:2">
      <c r="B264" s="21" t="s">
        <v>431</v>
      </c>
    </row>
    <row r="265" spans="2:2">
      <c r="B265" s="21" t="s">
        <v>432</v>
      </c>
    </row>
    <row r="266" spans="2:2">
      <c r="B266" s="21" t="s">
        <v>433</v>
      </c>
    </row>
    <row r="267" spans="2:2">
      <c r="B267" s="21"/>
    </row>
    <row r="268" spans="2:2">
      <c r="B268" s="21" t="s">
        <v>517</v>
      </c>
    </row>
    <row r="269" spans="2:2">
      <c r="B269" s="21" t="s">
        <v>518</v>
      </c>
    </row>
    <row r="270" spans="2:2">
      <c r="B270" s="21" t="s">
        <v>519</v>
      </c>
    </row>
    <row r="271" spans="2:2">
      <c r="B271" s="21" t="s">
        <v>520</v>
      </c>
    </row>
    <row r="272" spans="2:2">
      <c r="B272" s="21" t="s">
        <v>438</v>
      </c>
    </row>
    <row r="273" spans="2:2">
      <c r="B273" s="21"/>
    </row>
    <row r="274" spans="2:2">
      <c r="B274" s="21" t="s">
        <v>439</v>
      </c>
    </row>
    <row r="275" spans="2:2">
      <c r="B275" s="21" t="s">
        <v>440</v>
      </c>
    </row>
    <row r="276" spans="2:2">
      <c r="B276" s="21" t="s">
        <v>521</v>
      </c>
    </row>
    <row r="277" spans="2:2">
      <c r="B277" s="21" t="s">
        <v>522</v>
      </c>
    </row>
    <row r="278" spans="2:2">
      <c r="B278" s="21" t="s">
        <v>523</v>
      </c>
    </row>
    <row r="279" spans="2:2">
      <c r="B279" s="21"/>
    </row>
    <row r="280" spans="2:2">
      <c r="B280" s="21" t="s">
        <v>444</v>
      </c>
    </row>
    <row r="281" spans="2:2">
      <c r="B281" s="21" t="s">
        <v>445</v>
      </c>
    </row>
    <row r="282" spans="2:2">
      <c r="B282" s="21" t="s">
        <v>446</v>
      </c>
    </row>
    <row r="283" spans="2:2">
      <c r="B283" s="21" t="s">
        <v>524</v>
      </c>
    </row>
    <row r="284" spans="2:2">
      <c r="B284" s="21" t="s">
        <v>448</v>
      </c>
    </row>
    <row r="285" spans="2:2">
      <c r="B285" s="21"/>
    </row>
    <row r="286" spans="2:2">
      <c r="B286" s="21" t="s">
        <v>449</v>
      </c>
    </row>
    <row r="287" spans="2:2">
      <c r="B287" s="21" t="s">
        <v>525</v>
      </c>
    </row>
    <row r="288" spans="2:2">
      <c r="B288" s="21" t="s">
        <v>526</v>
      </c>
    </row>
    <row r="289" spans="2:2">
      <c r="B289" s="21" t="s">
        <v>527</v>
      </c>
    </row>
    <row r="290" spans="2:2">
      <c r="B290" s="21" t="s">
        <v>451</v>
      </c>
    </row>
    <row r="291" spans="2:2">
      <c r="B291" s="21"/>
    </row>
    <row r="292" spans="2:2">
      <c r="B292" s="21"/>
    </row>
    <row r="293" spans="2:2">
      <c r="B293" s="21" t="s">
        <v>528</v>
      </c>
    </row>
    <row r="294" spans="2:2">
      <c r="B294" s="21" t="s">
        <v>385</v>
      </c>
    </row>
    <row r="295" spans="2:2">
      <c r="B295" s="21" t="s">
        <v>529</v>
      </c>
    </row>
    <row r="296" spans="2:2">
      <c r="B296" s="21" t="s">
        <v>385</v>
      </c>
    </row>
    <row r="297" spans="2:2">
      <c r="B297" s="21" t="s">
        <v>530</v>
      </c>
    </row>
    <row r="298" spans="2:2">
      <c r="B298" s="21" t="s">
        <v>531</v>
      </c>
    </row>
    <row r="299" spans="2:2">
      <c r="B299" s="21" t="s">
        <v>532</v>
      </c>
    </row>
    <row r="300" spans="2:2">
      <c r="B300" s="21" t="s">
        <v>533</v>
      </c>
    </row>
    <row r="301" spans="2:2">
      <c r="B301" s="21"/>
    </row>
    <row r="302" spans="2:2">
      <c r="B302" s="21" t="s">
        <v>534</v>
      </c>
    </row>
    <row r="303" spans="2:2">
      <c r="B303" s="21" t="s">
        <v>535</v>
      </c>
    </row>
    <row r="304" spans="2:2">
      <c r="B304" s="21"/>
    </row>
    <row r="305" spans="2:2">
      <c r="B305" s="21" t="s">
        <v>536</v>
      </c>
    </row>
    <row r="306" spans="2:2">
      <c r="B306" s="21" t="s">
        <v>537</v>
      </c>
    </row>
    <row r="307" spans="2:2">
      <c r="B307" s="21" t="s">
        <v>538</v>
      </c>
    </row>
    <row r="308" spans="2:2">
      <c r="B308" s="21" t="s">
        <v>539</v>
      </c>
    </row>
    <row r="309" spans="2:2">
      <c r="B309" s="21" t="s">
        <v>540</v>
      </c>
    </row>
    <row r="310" spans="2:2">
      <c r="B310" s="21" t="s">
        <v>541</v>
      </c>
    </row>
    <row r="311" spans="2:2">
      <c r="B311" s="21"/>
    </row>
    <row r="312" spans="2:2">
      <c r="B312" s="21" t="s">
        <v>542</v>
      </c>
    </row>
    <row r="313" spans="2:2">
      <c r="B313" s="21" t="s">
        <v>543</v>
      </c>
    </row>
    <row r="314" spans="2:2">
      <c r="B314" s="21" t="s">
        <v>544</v>
      </c>
    </row>
    <row r="315" spans="2:2">
      <c r="B315" s="21"/>
    </row>
    <row r="316" spans="2:2">
      <c r="B316" s="21" t="s">
        <v>545</v>
      </c>
    </row>
    <row r="317" spans="2:2">
      <c r="B317" s="21" t="s">
        <v>546</v>
      </c>
    </row>
    <row r="318" spans="2:2">
      <c r="B318" s="21" t="s">
        <v>547</v>
      </c>
    </row>
    <row r="319" spans="2:2">
      <c r="B319" s="21" t="s">
        <v>548</v>
      </c>
    </row>
    <row r="320" spans="2:2">
      <c r="B320" s="21" t="s">
        <v>549</v>
      </c>
    </row>
    <row r="321" spans="2:2">
      <c r="B321" s="21" t="s">
        <v>550</v>
      </c>
    </row>
    <row r="322" spans="2:2">
      <c r="B322" s="21"/>
    </row>
    <row r="323" spans="2:2">
      <c r="B323" s="21" t="s">
        <v>551</v>
      </c>
    </row>
    <row r="324" spans="2:2">
      <c r="B324" s="21" t="s">
        <v>552</v>
      </c>
    </row>
    <row r="325" spans="2:2">
      <c r="B325" s="21" t="s">
        <v>547</v>
      </c>
    </row>
    <row r="326" spans="2:2">
      <c r="B326" s="21" t="s">
        <v>553</v>
      </c>
    </row>
    <row r="327" spans="2:2">
      <c r="B327" s="21" t="s">
        <v>554</v>
      </c>
    </row>
    <row r="328" spans="2:2">
      <c r="B328" s="21"/>
    </row>
    <row r="329" spans="2:2">
      <c r="B329" s="21" t="s">
        <v>555</v>
      </c>
    </row>
    <row r="330" spans="2:2">
      <c r="B330" s="21" t="s">
        <v>556</v>
      </c>
    </row>
    <row r="331" spans="2:2">
      <c r="B331" s="21" t="s">
        <v>554</v>
      </c>
    </row>
    <row r="332" spans="2:2">
      <c r="B332" s="21" t="s">
        <v>557</v>
      </c>
    </row>
    <row r="333" spans="2:2">
      <c r="B333" s="21" t="s">
        <v>558</v>
      </c>
    </row>
    <row r="334" spans="2:2">
      <c r="B334" s="21" t="s">
        <v>554</v>
      </c>
    </row>
    <row r="335" spans="2:2">
      <c r="B335" s="21" t="s">
        <v>559</v>
      </c>
    </row>
    <row r="336" spans="2:2">
      <c r="B336" s="21" t="s">
        <v>560</v>
      </c>
    </row>
    <row r="337" spans="2:2">
      <c r="B337" s="21" t="s">
        <v>554</v>
      </c>
    </row>
    <row r="338" spans="2:2">
      <c r="B338" s="21" t="s">
        <v>561</v>
      </c>
    </row>
    <row r="339" spans="2:2">
      <c r="B339" s="21" t="s">
        <v>562</v>
      </c>
    </row>
    <row r="340" spans="2:2">
      <c r="B340" s="21" t="s">
        <v>550</v>
      </c>
    </row>
    <row r="341" spans="2:2">
      <c r="B341" s="21"/>
    </row>
    <row r="342" spans="2:2">
      <c r="B342" s="21" t="s">
        <v>563</v>
      </c>
    </row>
    <row r="343" spans="2:2">
      <c r="B343" s="21" t="s">
        <v>564</v>
      </c>
    </row>
    <row r="344" spans="2:2">
      <c r="B344" s="21" t="s">
        <v>547</v>
      </c>
    </row>
    <row r="345" spans="2:2">
      <c r="B345" s="21" t="s">
        <v>553</v>
      </c>
    </row>
    <row r="346" spans="2:2">
      <c r="B346" s="21" t="s">
        <v>554</v>
      </c>
    </row>
    <row r="347" spans="2:2">
      <c r="B347" s="21"/>
    </row>
    <row r="348" spans="2:2">
      <c r="B348" s="21" t="s">
        <v>565</v>
      </c>
    </row>
    <row r="349" spans="2:2">
      <c r="B349" s="21" t="s">
        <v>566</v>
      </c>
    </row>
    <row r="350" spans="2:2">
      <c r="B350" s="21" t="s">
        <v>567</v>
      </c>
    </row>
    <row r="351" spans="2:2">
      <c r="B351" s="21" t="s">
        <v>554</v>
      </c>
    </row>
    <row r="352" spans="2:2">
      <c r="B352" s="21" t="s">
        <v>568</v>
      </c>
    </row>
    <row r="353" spans="2:2">
      <c r="B353" s="21" t="s">
        <v>569</v>
      </c>
    </row>
    <row r="354" spans="2:2">
      <c r="B354" s="21" t="s">
        <v>570</v>
      </c>
    </row>
    <row r="355" spans="2:2">
      <c r="B355" s="21" t="s">
        <v>554</v>
      </c>
    </row>
    <row r="356" spans="2:2">
      <c r="B356" s="21" t="s">
        <v>571</v>
      </c>
    </row>
    <row r="357" spans="2:2">
      <c r="B357" s="21" t="s">
        <v>572</v>
      </c>
    </row>
    <row r="358" spans="2:2">
      <c r="B358" s="21" t="s">
        <v>573</v>
      </c>
    </row>
    <row r="359" spans="2:2">
      <c r="B359" s="21" t="s">
        <v>554</v>
      </c>
    </row>
    <row r="360" spans="2:2">
      <c r="B360" s="21" t="s">
        <v>574</v>
      </c>
    </row>
    <row r="361" spans="2:2">
      <c r="B361" s="21" t="s">
        <v>575</v>
      </c>
    </row>
    <row r="362" spans="2:2">
      <c r="B362" s="21" t="s">
        <v>576</v>
      </c>
    </row>
    <row r="363" spans="2:2">
      <c r="B363" s="21" t="s">
        <v>550</v>
      </c>
    </row>
    <row r="364" spans="2:2">
      <c r="B364" s="21"/>
    </row>
    <row r="365" spans="2:2">
      <c r="B365" s="21" t="s">
        <v>577</v>
      </c>
    </row>
    <row r="366" spans="2:2">
      <c r="B366" s="21" t="s">
        <v>578</v>
      </c>
    </row>
    <row r="367" spans="2:2">
      <c r="B367" s="21" t="s">
        <v>547</v>
      </c>
    </row>
    <row r="368" spans="2:2">
      <c r="B368" s="21" t="s">
        <v>553</v>
      </c>
    </row>
    <row r="369" spans="2:2">
      <c r="B369" s="21" t="s">
        <v>554</v>
      </c>
    </row>
    <row r="370" spans="2:2">
      <c r="B370" s="21"/>
    </row>
    <row r="371" spans="2:2">
      <c r="B371" s="21" t="s">
        <v>579</v>
      </c>
    </row>
    <row r="372" spans="2:2">
      <c r="B372" s="21" t="s">
        <v>580</v>
      </c>
    </row>
    <row r="373" spans="2:2">
      <c r="B373" s="21" t="s">
        <v>581</v>
      </c>
    </row>
    <row r="374" spans="2:2">
      <c r="B374" s="21" t="s">
        <v>582</v>
      </c>
    </row>
    <row r="375" spans="2:2">
      <c r="B375" s="21" t="s">
        <v>583</v>
      </c>
    </row>
    <row r="376" spans="2:2">
      <c r="B376" s="21" t="s">
        <v>584</v>
      </c>
    </row>
    <row r="377" spans="2:2">
      <c r="B377" s="21" t="s">
        <v>585</v>
      </c>
    </row>
    <row r="378" spans="2:2">
      <c r="B378" s="21" t="s">
        <v>586</v>
      </c>
    </row>
    <row r="379" spans="2:2">
      <c r="B379" s="21" t="s">
        <v>587</v>
      </c>
    </row>
    <row r="380" spans="2:2">
      <c r="B380" s="21" t="s">
        <v>588</v>
      </c>
    </row>
    <row r="381" spans="2:2">
      <c r="B381" s="21" t="s">
        <v>589</v>
      </c>
    </row>
    <row r="382" spans="2:2">
      <c r="B382" s="21" t="s">
        <v>590</v>
      </c>
    </row>
    <row r="383" spans="2:2">
      <c r="B383" s="21" t="s">
        <v>591</v>
      </c>
    </row>
    <row r="384" spans="2:2">
      <c r="B384" s="21" t="s">
        <v>547</v>
      </c>
    </row>
    <row r="385" spans="2:2">
      <c r="B385" s="21"/>
    </row>
    <row r="386" spans="2:2">
      <c r="B386" s="21" t="s">
        <v>592</v>
      </c>
    </row>
    <row r="387" spans="2:2">
      <c r="B387" s="21" t="s">
        <v>593</v>
      </c>
    </row>
    <row r="388" spans="2:2">
      <c r="B388" s="21" t="s">
        <v>594</v>
      </c>
    </row>
    <row r="389" spans="2:2">
      <c r="B389" s="21"/>
    </row>
    <row r="390" spans="2:2">
      <c r="B390" s="21" t="s">
        <v>595</v>
      </c>
    </row>
    <row r="391" spans="2:2">
      <c r="B391" s="21" t="s">
        <v>451</v>
      </c>
    </row>
    <row r="392" spans="2:2">
      <c r="B392" s="21"/>
    </row>
    <row r="393" spans="2:2">
      <c r="B393" s="21"/>
    </row>
    <row r="394" spans="2:2">
      <c r="B394" s="21" t="s">
        <v>596</v>
      </c>
    </row>
    <row r="395" spans="2:2">
      <c r="B395" s="21" t="s">
        <v>385</v>
      </c>
    </row>
    <row r="396" spans="2:2">
      <c r="B396" s="21" t="s">
        <v>597</v>
      </c>
    </row>
    <row r="397" spans="2:2">
      <c r="B397" s="21" t="s">
        <v>385</v>
      </c>
    </row>
    <row r="398" spans="2:2">
      <c r="B398" s="21" t="s">
        <v>530</v>
      </c>
    </row>
    <row r="399" spans="2:2">
      <c r="B399" s="21" t="s">
        <v>598</v>
      </c>
    </row>
    <row r="400" spans="2:2">
      <c r="B400" s="21"/>
    </row>
    <row r="401" spans="2:2">
      <c r="B401" s="21" t="s">
        <v>537</v>
      </c>
    </row>
    <row r="402" spans="2:2">
      <c r="B402" s="21" t="s">
        <v>599</v>
      </c>
    </row>
    <row r="403" spans="2:2">
      <c r="B403" s="21" t="s">
        <v>541</v>
      </c>
    </row>
    <row r="404" spans="2:2">
      <c r="B404" s="21"/>
    </row>
    <row r="405" spans="2:2">
      <c r="B405" s="21" t="s">
        <v>600</v>
      </c>
    </row>
    <row r="406" spans="2:2">
      <c r="B406" s="21" t="s">
        <v>601</v>
      </c>
    </row>
    <row r="407" spans="2:2">
      <c r="B407" s="21" t="s">
        <v>602</v>
      </c>
    </row>
    <row r="408" spans="2:2">
      <c r="B408" s="21" t="s">
        <v>591</v>
      </c>
    </row>
    <row r="409" spans="2:2">
      <c r="B409" s="21"/>
    </row>
    <row r="410" spans="2:2">
      <c r="B410" s="21" t="s">
        <v>603</v>
      </c>
    </row>
    <row r="411" spans="2:2">
      <c r="B411" s="21" t="s">
        <v>604</v>
      </c>
    </row>
    <row r="412" spans="2:2">
      <c r="B412" s="21" t="s">
        <v>605</v>
      </c>
    </row>
    <row r="413" spans="2:2">
      <c r="B413" s="21" t="s">
        <v>606</v>
      </c>
    </row>
    <row r="414" spans="2:2">
      <c r="B414" s="21"/>
    </row>
    <row r="415" spans="2:2">
      <c r="B415" s="21" t="s">
        <v>607</v>
      </c>
    </row>
    <row r="416" spans="2:2">
      <c r="B416" s="21" t="s">
        <v>608</v>
      </c>
    </row>
    <row r="417" spans="2:2">
      <c r="B417" s="21" t="s">
        <v>609</v>
      </c>
    </row>
    <row r="418" spans="2:2">
      <c r="B418" s="21" t="s">
        <v>591</v>
      </c>
    </row>
    <row r="419" spans="2:2">
      <c r="B419" s="21" t="s">
        <v>451</v>
      </c>
    </row>
    <row r="420" spans="2:2">
      <c r="B420" s="21"/>
    </row>
    <row r="421" spans="2:2">
      <c r="B421" s="21"/>
    </row>
    <row r="422" spans="2:2">
      <c r="B422" s="21" t="s">
        <v>610</v>
      </c>
    </row>
    <row r="423" spans="2:2">
      <c r="B423" s="21" t="s">
        <v>385</v>
      </c>
    </row>
    <row r="424" spans="2:2">
      <c r="B424" s="21" t="s">
        <v>611</v>
      </c>
    </row>
    <row r="425" spans="2:2">
      <c r="B425" s="21" t="s">
        <v>385</v>
      </c>
    </row>
    <row r="426" spans="2:2">
      <c r="B426" s="21" t="s">
        <v>612</v>
      </c>
    </row>
    <row r="427" spans="2:2">
      <c r="B427" s="21" t="s">
        <v>613</v>
      </c>
    </row>
    <row r="428" spans="2:2">
      <c r="B428" s="21" t="s">
        <v>451</v>
      </c>
    </row>
    <row r="429" spans="2:2">
      <c r="B429" s="21"/>
    </row>
    <row r="430" spans="2:2">
      <c r="B430" s="21"/>
    </row>
    <row r="431" spans="2:2">
      <c r="B431" s="21" t="s">
        <v>614</v>
      </c>
    </row>
    <row r="432" spans="2:2">
      <c r="B432" s="21" t="s">
        <v>385</v>
      </c>
    </row>
    <row r="433" spans="2:3">
      <c r="B433" s="21" t="s">
        <v>615</v>
      </c>
    </row>
    <row r="434" spans="2:3">
      <c r="B434" s="21" t="s">
        <v>385</v>
      </c>
    </row>
    <row r="435" spans="2:3">
      <c r="B435" s="21" t="s">
        <v>616</v>
      </c>
    </row>
    <row r="436" spans="2:3">
      <c r="B436" s="21" t="s">
        <v>617</v>
      </c>
    </row>
    <row r="437" spans="2:3">
      <c r="B437" s="21" t="s">
        <v>618</v>
      </c>
    </row>
    <row r="438" spans="2:3">
      <c r="B438" s="21" t="s">
        <v>619</v>
      </c>
    </row>
    <row r="439" spans="2:3">
      <c r="B439" s="21" t="s">
        <v>620</v>
      </c>
    </row>
    <row r="440" spans="2:3">
      <c r="B440" s="21" t="s">
        <v>621</v>
      </c>
    </row>
    <row r="441" spans="2:3">
      <c r="B441" s="21" t="s">
        <v>451</v>
      </c>
    </row>
    <row r="443" spans="2:3">
      <c r="B443" s="2" t="s">
        <v>622</v>
      </c>
      <c r="C443" s="2"/>
    </row>
    <row r="444" spans="2:3">
      <c r="B444" s="3" t="s">
        <v>623</v>
      </c>
      <c r="C444" t="s">
        <v>624</v>
      </c>
    </row>
    <row r="445" spans="2:3">
      <c r="B445" s="3" t="s">
        <v>625</v>
      </c>
      <c r="C445" t="s">
        <v>626</v>
      </c>
    </row>
    <row r="446" spans="2:3">
      <c r="B446" s="3" t="s">
        <v>627</v>
      </c>
      <c r="C446" t="s">
        <v>628</v>
      </c>
    </row>
    <row r="447" spans="2:3">
      <c r="B447" s="3" t="s">
        <v>629</v>
      </c>
      <c r="C447" t="s">
        <v>630</v>
      </c>
    </row>
    <row r="448" spans="2:3">
      <c r="B448" s="3" t="s">
        <v>631</v>
      </c>
      <c r="C448" t="s">
        <v>632</v>
      </c>
    </row>
    <row r="449" spans="2:3">
      <c r="B449" s="3" t="s">
        <v>633</v>
      </c>
      <c r="C449" t="s">
        <v>634</v>
      </c>
    </row>
    <row r="450" spans="2:3">
      <c r="B450" s="3" t="s">
        <v>635</v>
      </c>
      <c r="C450" t="s">
        <v>636</v>
      </c>
    </row>
    <row r="453" spans="2:3">
      <c r="B453" s="2" t="s">
        <v>637</v>
      </c>
      <c r="C453" s="2"/>
    </row>
    <row r="454" spans="2:3">
      <c r="B454" t="s">
        <v>638</v>
      </c>
      <c r="C454" s="3" t="s">
        <v>639</v>
      </c>
    </row>
    <row r="455" spans="2:3">
      <c r="B455" t="s">
        <v>11</v>
      </c>
      <c r="C455" s="3" t="s">
        <v>640</v>
      </c>
    </row>
    <row r="456" spans="2:3">
      <c r="B456" t="s">
        <v>13</v>
      </c>
      <c r="C456" s="3" t="s">
        <v>641</v>
      </c>
    </row>
    <row r="457" spans="2:3">
      <c r="B457" t="s">
        <v>15</v>
      </c>
      <c r="C457" s="3" t="s">
        <v>642</v>
      </c>
    </row>
    <row r="458" spans="2:3">
      <c r="B458" t="s">
        <v>643</v>
      </c>
      <c r="C458" s="3" t="s">
        <v>644</v>
      </c>
    </row>
    <row r="459" spans="2:3">
      <c r="B459" t="s">
        <v>257</v>
      </c>
      <c r="C459" s="3" t="s">
        <v>645</v>
      </c>
    </row>
    <row r="460" spans="2:3">
      <c r="B460" t="s">
        <v>25</v>
      </c>
      <c r="C460" s="3" t="s">
        <v>646</v>
      </c>
    </row>
    <row r="461" spans="2:3">
      <c r="B461" t="s">
        <v>298</v>
      </c>
      <c r="C461" s="3" t="s">
        <v>647</v>
      </c>
    </row>
    <row r="462" spans="2:3">
      <c r="B462" t="s">
        <v>36</v>
      </c>
      <c r="C462" s="3" t="s">
        <v>648</v>
      </c>
    </row>
    <row r="463" spans="2:3">
      <c r="B463" t="s">
        <v>39</v>
      </c>
      <c r="C463" s="3" t="s">
        <v>649</v>
      </c>
    </row>
    <row r="464" spans="2:3">
      <c r="B464" t="s">
        <v>147</v>
      </c>
      <c r="C464" s="3" t="s">
        <v>650</v>
      </c>
    </row>
    <row r="465" spans="2:3">
      <c r="B465" t="s">
        <v>308</v>
      </c>
      <c r="C465" s="3" t="s">
        <v>651</v>
      </c>
    </row>
    <row r="466" spans="2:3">
      <c r="B466" t="s">
        <v>310</v>
      </c>
      <c r="C466" s="3" t="s">
        <v>652</v>
      </c>
    </row>
    <row r="467" spans="2:3">
      <c r="B467" t="s">
        <v>653</v>
      </c>
      <c r="C467" s="3" t="s">
        <v>654</v>
      </c>
    </row>
    <row r="468" spans="2:3">
      <c r="B468" t="s">
        <v>318</v>
      </c>
      <c r="C468" s="3" t="s">
        <v>655</v>
      </c>
    </row>
    <row r="469" spans="2:3">
      <c r="B469" t="s">
        <v>656</v>
      </c>
      <c r="C469" s="3" t="s">
        <v>657</v>
      </c>
    </row>
    <row r="470" spans="2:3">
      <c r="B470" t="s">
        <v>658</v>
      </c>
      <c r="C470" s="3" t="s">
        <v>659</v>
      </c>
    </row>
    <row r="471" spans="2:3">
      <c r="B471" t="s">
        <v>304</v>
      </c>
      <c r="C471" s="3" t="s">
        <v>660</v>
      </c>
    </row>
    <row r="472" spans="2:3">
      <c r="B472" t="s">
        <v>661</v>
      </c>
      <c r="C472" s="3" t="s">
        <v>662</v>
      </c>
    </row>
    <row r="473" spans="2:3">
      <c r="B473" t="s">
        <v>663</v>
      </c>
      <c r="C473" s="3" t="s">
        <v>664</v>
      </c>
    </row>
    <row r="474" spans="2:3">
      <c r="B474" t="s">
        <v>119</v>
      </c>
      <c r="C474" s="3" t="s">
        <v>665</v>
      </c>
    </row>
    <row r="475" spans="2:3">
      <c r="B475" t="s">
        <v>666</v>
      </c>
      <c r="C475" s="3" t="s">
        <v>667</v>
      </c>
    </row>
    <row r="476" spans="2:3">
      <c r="B476" t="s">
        <v>124</v>
      </c>
      <c r="C476" s="3" t="s">
        <v>668</v>
      </c>
    </row>
    <row r="477" spans="2:3">
      <c r="B477" t="s">
        <v>669</v>
      </c>
      <c r="C477" s="3" t="s">
        <v>670</v>
      </c>
    </row>
    <row r="478" spans="2:3">
      <c r="B478" t="s">
        <v>129</v>
      </c>
      <c r="C478" s="3" t="s">
        <v>671</v>
      </c>
    </row>
    <row r="479" spans="2:3">
      <c r="B479" t="s">
        <v>130</v>
      </c>
      <c r="C479" s="3" t="s">
        <v>672</v>
      </c>
    </row>
    <row r="480" spans="2:3">
      <c r="B480" t="s">
        <v>673</v>
      </c>
      <c r="C480" s="3" t="s">
        <v>674</v>
      </c>
    </row>
    <row r="481" spans="2:3">
      <c r="B481" t="s">
        <v>675</v>
      </c>
      <c r="C481" s="3" t="s">
        <v>676</v>
      </c>
    </row>
    <row r="482" spans="2:3">
      <c r="B482" t="s">
        <v>677</v>
      </c>
      <c r="C482" s="3" t="s">
        <v>678</v>
      </c>
    </row>
    <row r="483" spans="2:3">
      <c r="B483" t="s">
        <v>139</v>
      </c>
      <c r="C483" s="3" t="s">
        <v>679</v>
      </c>
    </row>
    <row r="484" spans="2:3">
      <c r="B484" t="s">
        <v>680</v>
      </c>
      <c r="C484" s="3" t="s">
        <v>681</v>
      </c>
    </row>
    <row r="487" spans="2:3">
      <c r="B487" s="2" t="s">
        <v>682</v>
      </c>
      <c r="C487" s="2"/>
    </row>
    <row r="488" spans="2:3">
      <c r="B488" s="5" t="s">
        <v>683</v>
      </c>
    </row>
    <row r="489" spans="2:3">
      <c r="B489" s="5" t="s">
        <v>684</v>
      </c>
    </row>
    <row r="490" spans="2:3">
      <c r="B490" s="5" t="s">
        <v>685</v>
      </c>
    </row>
    <row r="491" spans="2:3">
      <c r="B491" s="5" t="s">
        <v>686</v>
      </c>
    </row>
    <row r="492" spans="2:3">
      <c r="B492" s="5" t="s">
        <v>687</v>
      </c>
    </row>
  </sheetData>
  <mergeCells count="6">
    <mergeCell ref="B1:C1"/>
    <mergeCell ref="B3:C3"/>
    <mergeCell ref="B19:C19"/>
    <mergeCell ref="B443:C443"/>
    <mergeCell ref="B453:C453"/>
    <mergeCell ref="B487:C4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Inputs</vt:lpstr>
      <vt:lpstr>Results</vt:lpstr>
      <vt:lpstr>Cash_Flows</vt:lpstr>
      <vt:lpstr>Calculations</vt:lpstr>
      <vt:lpstr>Sensitivity</vt:lpstr>
      <vt:lpstr>Methodology</vt:lpstr>
      <vt:lpstr>Library_Data</vt:lpstr>
      <vt:lpstr>VBA_Code</vt:lpstr>
      <vt:lpstr>Analysis_Years</vt:lpstr>
      <vt:lpstr>Capacity_MW</vt:lpstr>
      <vt:lpstr>Discount_Rate</vt:lpstr>
      <vt:lpstr>Duration_Hours</vt:lpstr>
      <vt:lpstr>Energy_MWh</vt:lpstr>
      <vt:lpstr>Learning_Rate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2026-02-11T20:56:34Z</dcterms:created>
  <dcterms:modified xsi:type="dcterms:W3CDTF">2026-02-11T20:56:34Z</dcterms:modified>
</cp:coreProperties>
</file>