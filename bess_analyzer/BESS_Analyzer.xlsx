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puts" sheetId="1" r:id="rId1"/>
    <sheet name="Results" sheetId="2" r:id="rId2"/>
    <sheet name="Cash_Flows" sheetId="3" r:id="rId3"/>
    <sheet name="Calculations" sheetId="4" r:id="rId4"/>
    <sheet name="Sensitivity" sheetId="5" r:id="rId5"/>
    <sheet name="Methodology" sheetId="6" r:id="rId6"/>
    <sheet name="Library_Data" sheetId="7" r:id="rId7"/>
  </sheets>
  <definedNames>
    <definedName name="Analysis_Years">Inputs!$C$13</definedName>
    <definedName name="Capacity_MW">Inputs!$C$10</definedName>
    <definedName name="Discount_Rate">Inputs!$C$14</definedName>
    <definedName name="Duration_Hours">Inputs!$C$11</definedName>
    <definedName name="Energy_MWh">Inputs!$C$12</definedName>
    <definedName name="Learning_Rate">Inputs!$C$67</definedName>
  </definedNames>
  <calcPr calcId="124519" fullCalcOnLoad="1"/>
</workbook>
</file>

<file path=xl/sharedStrings.xml><?xml version="1.0" encoding="utf-8"?>
<sst xmlns="http://schemas.openxmlformats.org/spreadsheetml/2006/main" count="372" uniqueCount="311">
  <si>
    <t>BESS Economic Analysis - Project Inputs</t>
  </si>
  <si>
    <t>LIBRARY SELECTION</t>
  </si>
  <si>
    <t>Selected Library:</t>
  </si>
  <si>
    <t>Custom</t>
  </si>
  <si>
    <t>PROJECT BASICS</t>
  </si>
  <si>
    <t>Project Name</t>
  </si>
  <si>
    <t>Enter project name</t>
  </si>
  <si>
    <t>Project ID</t>
  </si>
  <si>
    <t>Unique identifier</t>
  </si>
  <si>
    <t>Location</t>
  </si>
  <si>
    <t>Site or market location</t>
  </si>
  <si>
    <t>Capacity (MW)</t>
  </si>
  <si>
    <t>Nameplate power capacity</t>
  </si>
  <si>
    <t>Duration (hours)</t>
  </si>
  <si>
    <t>Storage duration</t>
  </si>
  <si>
    <t>Energy Capacity (MWh)</t>
  </si>
  <si>
    <t>Auto-calculated: MW x hours</t>
  </si>
  <si>
    <t>Analysis Period (years)</t>
  </si>
  <si>
    <t>Economic analysis horizon</t>
  </si>
  <si>
    <t>Discount Rate (%)</t>
  </si>
  <si>
    <t>Nominal discount rate for NPV</t>
  </si>
  <si>
    <t>Ownership Type</t>
  </si>
  <si>
    <t>Utility</t>
  </si>
  <si>
    <t>Utility (6-7% WACC) or Merchant (8-10%)</t>
  </si>
  <si>
    <t>TECHNOLOGY SPECIFICATIONS</t>
  </si>
  <si>
    <t>Chemistry</t>
  </si>
  <si>
    <t>LFP</t>
  </si>
  <si>
    <t>LFP, NMC, or Other</t>
  </si>
  <si>
    <t>Round-Trip Efficiency (%)</t>
  </si>
  <si>
    <t>AC-AC efficiency</t>
  </si>
  <si>
    <t>Annual Degradation (%)</t>
  </si>
  <si>
    <t>Capacity loss per year</t>
  </si>
  <si>
    <t>Cycle Life</t>
  </si>
  <si>
    <t>Full-depth cycles before EOL</t>
  </si>
  <si>
    <t>Augmentation Year</t>
  </si>
  <si>
    <t>Year of battery replacement</t>
  </si>
  <si>
    <t>Cycles per Day</t>
  </si>
  <si>
    <t>Average daily charge/discharge cycles</t>
  </si>
  <si>
    <t>COST INPUTS (BESS)</t>
  </si>
  <si>
    <t>CapEx ($/kWh)</t>
  </si>
  <si>
    <t>$/kWh</t>
  </si>
  <si>
    <t>Installed capital cost per kWh</t>
  </si>
  <si>
    <t>Fixed O&amp;M ($/kW-year)</t>
  </si>
  <si>
    <t>$/kW-yr</t>
  </si>
  <si>
    <t>Annual fixed O&amp;M</t>
  </si>
  <si>
    <t>Variable O&amp;M ($/MWh)</t>
  </si>
  <si>
    <t>$/MWh</t>
  </si>
  <si>
    <t>Per-MWh discharge cost</t>
  </si>
  <si>
    <t>Augmentation Cost ($/kWh)</t>
  </si>
  <si>
    <t>Battery replacement cost</t>
  </si>
  <si>
    <t>Decommissioning ($/kW)</t>
  </si>
  <si>
    <t>$/kW</t>
  </si>
  <si>
    <t>End-of-life cost</t>
  </si>
  <si>
    <t>Charging Cost ($/MWh)</t>
  </si>
  <si>
    <t>Grid electricity cost for charging</t>
  </si>
  <si>
    <t>Residual Value (%)</t>
  </si>
  <si>
    <t>%</t>
  </si>
  <si>
    <t>End-of-life asset value as % of CapEx</t>
  </si>
  <si>
    <t>TAX CREDITS (BESS-Specific under IRA)</t>
  </si>
  <si>
    <t>ITC Base Rate (%)</t>
  </si>
  <si>
    <t>30% Investment Tax Credit under IRA</t>
  </si>
  <si>
    <t>ITC Adders (%)</t>
  </si>
  <si>
    <t>Energy community +10%, Domestic content +10%</t>
  </si>
  <si>
    <t>INFRASTRUCTURE COSTS (Common to all projects)</t>
  </si>
  <si>
    <t>Interconnection ($/kW)</t>
  </si>
  <si>
    <t>Network upgrades, studies</t>
  </si>
  <si>
    <t>Land ($/kW)</t>
  </si>
  <si>
    <t>Site acquisition/lease</t>
  </si>
  <si>
    <t>Permitting ($/kW)</t>
  </si>
  <si>
    <t>Permits, environmental review</t>
  </si>
  <si>
    <t>Insurance (% of CapEx)</t>
  </si>
  <si>
    <t>Annual insurance cost</t>
  </si>
  <si>
    <t>Property Tax (%)</t>
  </si>
  <si>
    <t>Annual property tax rate</t>
  </si>
  <si>
    <t>FINANCING STRUCTURE (For WACC Calculation)</t>
  </si>
  <si>
    <t>Debt Percentage (%)</t>
  </si>
  <si>
    <t>Debt/equity split (0.60 = 60% debt)</t>
  </si>
  <si>
    <t>Interest Rate (%)</t>
  </si>
  <si>
    <t>Annual interest rate on debt</t>
  </si>
  <si>
    <t>Loan Term (years)</t>
  </si>
  <si>
    <t>Debt amortization period</t>
  </si>
  <si>
    <t>Cost of Equity (%)</t>
  </si>
  <si>
    <t>Required return on equity</t>
  </si>
  <si>
    <t>Tax Rate (%)</t>
  </si>
  <si>
    <t>Corporate tax rate for interest deduction</t>
  </si>
  <si>
    <t>Calculated WACC</t>
  </si>
  <si>
    <t>Weighted Average Cost of Capital</t>
  </si>
  <si>
    <t>BENEFIT STREAMS (Year 1 Values)</t>
  </si>
  <si>
    <t>Benefit Category</t>
  </si>
  <si>
    <t>$/kW-year</t>
  </si>
  <si>
    <t>Escalation %</t>
  </si>
  <si>
    <t>Category / Citation</t>
  </si>
  <si>
    <t>Resource Adequacy</t>
  </si>
  <si>
    <t>[common] CPUC RA Report 2024</t>
  </si>
  <si>
    <t>Energy Arbitrage</t>
  </si>
  <si>
    <t>[common] Market Data 2024</t>
  </si>
  <si>
    <t>Ancillary Services</t>
  </si>
  <si>
    <t>[common] AS Reports 2024</t>
  </si>
  <si>
    <t>T&amp;D Deferral</t>
  </si>
  <si>
    <t>[common] Avoided Cost Calculator</t>
  </si>
  <si>
    <t>Resilience Value</t>
  </si>
  <si>
    <t>[common] LBNL ICE Calculator</t>
  </si>
  <si>
    <t>Renewable Integration</t>
  </si>
  <si>
    <t>[bess] NREL Grid Studies</t>
  </si>
  <si>
    <t>GHG Emissions Value</t>
  </si>
  <si>
    <t>[bess] EPA Social Cost Carbon</t>
  </si>
  <si>
    <t>Voltage Support</t>
  </si>
  <si>
    <t>[common] EPRI Distribution</t>
  </si>
  <si>
    <t>COST PROJECTIONS (Learning Curve)</t>
  </si>
  <si>
    <t>Annual Cost Decline Rate</t>
  </si>
  <si>
    <t>Technology learning rate (10-15% typical)</t>
  </si>
  <si>
    <t>Cost Base Year</t>
  </si>
  <si>
    <t>Reference year for base costs</t>
  </si>
  <si>
    <t>GENERATE REPORTS</t>
  </si>
  <si>
    <t>Annual Cash Flow Projections</t>
  </si>
  <si>
    <t>Year</t>
  </si>
  <si>
    <t>CapEx</t>
  </si>
  <si>
    <t>Fixed O&amp;M</t>
  </si>
  <si>
    <t>Var O&amp;M</t>
  </si>
  <si>
    <t>Insurance</t>
  </si>
  <si>
    <t>Prop Tax</t>
  </si>
  <si>
    <t>Augment</t>
  </si>
  <si>
    <t>Decommission</t>
  </si>
  <si>
    <t>Total Costs</t>
  </si>
  <si>
    <t>RA</t>
  </si>
  <si>
    <t>Arbitrage</t>
  </si>
  <si>
    <t>Ancillary</t>
  </si>
  <si>
    <t>T&amp;D</t>
  </si>
  <si>
    <t>Resilience</t>
  </si>
  <si>
    <t>Renew Int</t>
  </si>
  <si>
    <t>GHG</t>
  </si>
  <si>
    <t>Voltage</t>
  </si>
  <si>
    <t>Total Benefits</t>
  </si>
  <si>
    <t>Net CF</t>
  </si>
  <si>
    <t>Disc Factor</t>
  </si>
  <si>
    <t>PV Costs</t>
  </si>
  <si>
    <t>PV Benefits</t>
  </si>
  <si>
    <t>Cumul CF</t>
  </si>
  <si>
    <t>TOTALS</t>
  </si>
  <si>
    <t>Calculation Engine</t>
  </si>
  <si>
    <t>DERIVED VALUES</t>
  </si>
  <si>
    <t>Capacity (kW)</t>
  </si>
  <si>
    <t>Convert MW to kW</t>
  </si>
  <si>
    <t>Capacity (kWh)</t>
  </si>
  <si>
    <t>Convert MWh to kWh</t>
  </si>
  <si>
    <t>Battery CapEx ($)</t>
  </si>
  <si>
    <t>CapEx/kWh x kWh</t>
  </si>
  <si>
    <t>Infrastructure ($)</t>
  </si>
  <si>
    <t>Interconnect+Land+Permit</t>
  </si>
  <si>
    <t>Total CapEx ($)</t>
  </si>
  <si>
    <t>Battery + Infrastructure</t>
  </si>
  <si>
    <t>ITC Credit ($)</t>
  </si>
  <si>
    <t>ITC on battery only</t>
  </si>
  <si>
    <t>Net Year 0 Cost ($)</t>
  </si>
  <si>
    <t>CapEx minus ITC</t>
  </si>
  <si>
    <t>Annual Fixed O&amp;M ($)</t>
  </si>
  <si>
    <t>FOM/kW x kW</t>
  </si>
  <si>
    <t>Annual Energy (MWh)</t>
  </si>
  <si>
    <t>MWh x cycles/day x 365 x RTE</t>
  </si>
  <si>
    <t>Annual Charging Cost ($)</t>
  </si>
  <si>
    <t>Energy/RTE x charging cost</t>
  </si>
  <si>
    <t>Residual Value ($)</t>
  </si>
  <si>
    <t>CapEx x residual %</t>
  </si>
  <si>
    <t>KEY FORMULAS</t>
  </si>
  <si>
    <t>NPV</t>
  </si>
  <si>
    <t>Sum(CFt / (1+r)^t) for t=0 to N</t>
  </si>
  <si>
    <t>Brealey &amp; Myers (2020)</t>
  </si>
  <si>
    <t>BCR</t>
  </si>
  <si>
    <t>PV(Benefits) / PV(Costs)</t>
  </si>
  <si>
    <t>CPUC Standard Practice Manual</t>
  </si>
  <si>
    <t>IRR</t>
  </si>
  <si>
    <t>Rate where NPV = 0</t>
  </si>
  <si>
    <t>LCOS</t>
  </si>
  <si>
    <t>PV(Costs) / PV(Energy)</t>
  </si>
  <si>
    <t>Lazard Methodology</t>
  </si>
  <si>
    <t>Payback</t>
  </si>
  <si>
    <t>Year where cumulative CF &gt; 0</t>
  </si>
  <si>
    <t>Standard finance</t>
  </si>
  <si>
    <t>BESS Economic Analysis Results</t>
  </si>
  <si>
    <t>PROJECT SUMMARY</t>
  </si>
  <si>
    <t>Project</t>
  </si>
  <si>
    <t>Capacity</t>
  </si>
  <si>
    <t>Total Investment</t>
  </si>
  <si>
    <t>KEY FINANCIAL METRICS</t>
  </si>
  <si>
    <t>Benefit-Cost Ratio (BCR)</t>
  </si>
  <si>
    <t>BCR &gt;= 1.0 indicates benefits exceed costs</t>
  </si>
  <si>
    <t>Net Present Value (NPV)</t>
  </si>
  <si>
    <t>Positive NPV indicates value creation</t>
  </si>
  <si>
    <t>Internal Rate of Return (IRR)</t>
  </si>
  <si>
    <t>Simple Payback (years)</t>
  </si>
  <si>
    <t>Year when cumulative CF turns positive</t>
  </si>
  <si>
    <t>PV of Total Costs</t>
  </si>
  <si>
    <t>Present value of all costs</t>
  </si>
  <si>
    <t>PV of Total Benefits</t>
  </si>
  <si>
    <t>Present value of all benefits</t>
  </si>
  <si>
    <t>RECOMMENDATION</t>
  </si>
  <si>
    <t>LEVELIZED COST OF STORAGE (LCOS)</t>
  </si>
  <si>
    <t>LCOS ($/MWh)</t>
  </si>
  <si>
    <t>Levelized cost per MWh discharged</t>
  </si>
  <si>
    <t>BREAKEVEN ANALYSIS</t>
  </si>
  <si>
    <t>Breakeven CapEx ($/kWh)</t>
  </si>
  <si>
    <t>Maximum CapEx for BCR = 1.0</t>
  </si>
  <si>
    <t>Sensitivity Analysis - NPV &amp; BCR Impact</t>
  </si>
  <si>
    <t>These tables show how key metrics change with different CapEx and Benefit multipliers.</t>
  </si>
  <si>
    <t>NET PRESENT VALUE ($) SENSITIVITY</t>
  </si>
  <si>
    <t>NPV ($)</t>
  </si>
  <si>
    <t>70% Benefits</t>
  </si>
  <si>
    <t>80% Benefits</t>
  </si>
  <si>
    <t>90% Benefits</t>
  </si>
  <si>
    <t>100% Benefits</t>
  </si>
  <si>
    <t>110% Benefits</t>
  </si>
  <si>
    <t>120% Benefits</t>
  </si>
  <si>
    <t>130% Benefits</t>
  </si>
  <si>
    <t>$100/kWh</t>
  </si>
  <si>
    <t>$120/kWh</t>
  </si>
  <si>
    <t>$140/kWh</t>
  </si>
  <si>
    <t>$160/kWh</t>
  </si>
  <si>
    <t>$180/kWh</t>
  </si>
  <si>
    <t>$200/kWh</t>
  </si>
  <si>
    <t>$220/kWh</t>
  </si>
  <si>
    <t>BENEFIT-COST RATIO SENSITIVITY</t>
  </si>
  <si>
    <t>SINGLE VARIABLE IMPACTS</t>
  </si>
  <si>
    <t>Parameter</t>
  </si>
  <si>
    <t>Base Value</t>
  </si>
  <si>
    <t>-20% NPV</t>
  </si>
  <si>
    <t>+20% NPV</t>
  </si>
  <si>
    <t>Discount Rate</t>
  </si>
  <si>
    <t>NOTES</t>
  </si>
  <si>
    <t>• Green cells indicate BCR &gt;= 1.5 (strong project economics)</t>
  </si>
  <si>
    <t>• Yellow cells indicate BCR between 1.0-1.5 (marginal economics)</t>
  </si>
  <si>
    <t>• Red cells indicate BCR &lt; 1.0 (costs exceed benefits)</t>
  </si>
  <si>
    <t>• Sensitivity tables assume proportional scaling of CapEx-related costs</t>
  </si>
  <si>
    <t>• Single variable impacts show approximate NPV change for ±20% parameter change</t>
  </si>
  <si>
    <t>Methodology &amp; References</t>
  </si>
  <si>
    <t>OVERVIEW</t>
  </si>
  <si>
    <t>This workbook performs economic analysis of battery energy storage system (BESS) projects using standard discounted cash flow (DCF) methodology. All calculations follow industry-standard approaches from NREL, Lazard, and the California Public Utilities Commission (CPUC).</t>
  </si>
  <si>
    <t>Formula: NPV = Sum(CFt / (1+r)^t) for t=0 to N</t>
  </si>
  <si>
    <t>Where CFt = cash flow in year t, r = discount rate, N = analysis period</t>
  </si>
  <si>
    <t>Formula: BCR = PV(Benefits) / PV(Costs)</t>
  </si>
  <si>
    <t>BCR &gt; 1.0 indicates project creates net value; BCR &gt; 1.5 is strong</t>
  </si>
  <si>
    <t>Formula: IRR: Find r where NPV = 0</t>
  </si>
  <si>
    <t>The discount rate that makes NPV equal to zero</t>
  </si>
  <si>
    <t>Levelized Cost of Storage (LCOS)</t>
  </si>
  <si>
    <t>Formula: LCOS = PV(Costs) / PV(Energy Discharged)</t>
  </si>
  <si>
    <t>Expressed in $/MWh; enables comparison across technologies</t>
  </si>
  <si>
    <t>Technology Learning Curve</t>
  </si>
  <si>
    <t>Formula: Cost(year) = Cost(base) x (1 - learning_rate)^years</t>
  </si>
  <si>
    <t>Battery costs decline ~10-15% annually; reduces augmentation costs</t>
  </si>
  <si>
    <t>REFERENCES</t>
  </si>
  <si>
    <t>[1] NREL. Annual Technology Baseline 2024. https://atb.nrel.gov/</t>
  </si>
  <si>
    <t>[2] Lazard. Levelized Cost of Storage Analysis, Version 10.0. March 2025.</t>
  </si>
  <si>
    <t>[3] CPUC. California Standard Practice Manual. October 2001.</t>
  </si>
  <si>
    <t>[4] E3. CPUC Avoided Cost Calculator 2024.</t>
  </si>
  <si>
    <t>[5] LBNL. Interruption Cost Estimate (ICE) Calculator.</t>
  </si>
  <si>
    <t>[6] EPA. Social Cost of Greenhouse Gases. 2024.</t>
  </si>
  <si>
    <t>[7] Brealey, Myers, Allen. Principles of Corporate Finance (13th ed.). 2020.</t>
  </si>
  <si>
    <t>[8] NREL. Storage Futures Study. NREL/TP-6A20-77449. 2021.</t>
  </si>
  <si>
    <t>DISCLAIMER</t>
  </si>
  <si>
    <t>This model is provided for analytical purposes only. Results should be validated against independent sources before use in investment decisions. Actual project economics will vary based on site-specific conditions, market dynamics, and evolving technology costs.</t>
  </si>
  <si>
    <t>Assumption Library Data</t>
  </si>
  <si>
    <t>NREL ATB 2024</t>
  </si>
  <si>
    <t>Lazard LCOS 2025</t>
  </si>
  <si>
    <t>CPUC CA 2024</t>
  </si>
  <si>
    <t>Fixed O&amp;M ($/kW-yr)</t>
  </si>
  <si>
    <t>Augmentation ($/kWh)</t>
  </si>
  <si>
    <t>Residual Value</t>
  </si>
  <si>
    <t>10%</t>
  </si>
  <si>
    <t>Round-Trip Efficiency</t>
  </si>
  <si>
    <t>85%</t>
  </si>
  <si>
    <t>86%</t>
  </si>
  <si>
    <t>Annual Degradation</t>
  </si>
  <si>
    <t>2.5%</t>
  </si>
  <si>
    <t>2.0%</t>
  </si>
  <si>
    <t>Learning Rate</t>
  </si>
  <si>
    <t>12%</t>
  </si>
  <si>
    <t>11%</t>
  </si>
  <si>
    <t>Tax Credits (BESS-Specific)</t>
  </si>
  <si>
    <t>ITC Base Rate</t>
  </si>
  <si>
    <t>30%</t>
  </si>
  <si>
    <t>ITC Adders</t>
  </si>
  <si>
    <t>0%</t>
  </si>
  <si>
    <t>Infrastructure (Common)</t>
  </si>
  <si>
    <t>Insurance (% CapEx)</t>
  </si>
  <si>
    <t>0.5%</t>
  </si>
  <si>
    <t>1.0%</t>
  </si>
  <si>
    <t>1.05%</t>
  </si>
  <si>
    <t>Financing Structure</t>
  </si>
  <si>
    <t>Debt Percentage</t>
  </si>
  <si>
    <t>60%</t>
  </si>
  <si>
    <t>55%</t>
  </si>
  <si>
    <t>65%</t>
  </si>
  <si>
    <t>Interest Rate</t>
  </si>
  <si>
    <t>4.5%</t>
  </si>
  <si>
    <t>5.0%</t>
  </si>
  <si>
    <t>4.0%</t>
  </si>
  <si>
    <t>Cost of Equity</t>
  </si>
  <si>
    <t>9.5%</t>
  </si>
  <si>
    <t>Tax Rate</t>
  </si>
  <si>
    <t>21%</t>
  </si>
  <si>
    <t>6.5%</t>
  </si>
  <si>
    <t>7.5%</t>
  </si>
  <si>
    <t>6.0%</t>
  </si>
  <si>
    <t>Benefits ($/kW-yr)</t>
  </si>
  <si>
    <t>Resource Adequacy [common]</t>
  </si>
  <si>
    <t>Energy Arbitrage [common]</t>
  </si>
  <si>
    <t>Ancillary Services [common]</t>
  </si>
  <si>
    <t>T&amp;D Deferral [common]</t>
  </si>
  <si>
    <t>Resilience Value [common]</t>
  </si>
  <si>
    <t>Renewable Integration [bess]</t>
  </si>
  <si>
    <t>GHG Emissions Value [bess]</t>
  </si>
  <si>
    <t>Voltage Support [common]</t>
  </si>
</sst>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$#,##0"/>
    <numFmt numFmtId="167" formatCode="0.00"/>
    <numFmt numFmtId="168" formatCode="0.0"/>
    <numFmt numFmtId="169" formatCode="$#,##0,,&quot;M&quot;"/>
  </numFmts>
  <fonts count="7">
    <font>
      <sz val="11"/>
      <color theme="1"/>
      <name val="Calibri"/>
      <family val="2"/>
      <scheme val="minor"/>
    </font>
    <font>
      <b/>
      <sz val="16"/>
      <color rgb="FF1565C0"/>
      <name val="Calibri"/>
      <family val="2"/>
      <scheme val="minor"/>
    </font>
    <font>
      <b/>
      <sz val="12"/>
      <color rgb="FF1565C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666666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3F2FD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1565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3" fillId="0" borderId="0" xfId="0" applyFont="1"/>
    <xf numFmtId="0" fontId="0" fillId="3" borderId="1" xfId="0" applyFill="1" applyBorder="1"/>
    <xf numFmtId="0" fontId="4" fillId="0" borderId="0" xfId="0" applyFont="1"/>
    <xf numFmtId="0" fontId="0" fillId="4" borderId="1" xfId="0" applyFill="1" applyBorder="1"/>
    <xf numFmtId="164" fontId="0" fillId="3" borderId="1" xfId="0" applyNumberFormat="1" applyFill="1" applyBorder="1"/>
    <xf numFmtId="165" fontId="0" fillId="3" borderId="1" xfId="0" applyNumberFormat="1" applyFill="1" applyBorder="1"/>
    <xf numFmtId="0" fontId="5" fillId="5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167" fontId="6" fillId="2" borderId="1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center"/>
    </xf>
    <xf numFmtId="168" fontId="6" fillId="2" borderId="1" xfId="0" applyNumberFormat="1" applyFont="1" applyFill="1" applyBorder="1" applyAlignment="1">
      <alignment horizontal="center"/>
    </xf>
    <xf numFmtId="169" fontId="6" fillId="2" borderId="1" xfId="0" applyNumberFormat="1" applyFont="1" applyFill="1" applyBorder="1" applyAlignment="1">
      <alignment horizontal="center"/>
    </xf>
    <xf numFmtId="166" fontId="0" fillId="0" borderId="1" xfId="0" applyNumberFormat="1" applyBorder="1"/>
    <xf numFmtId="166" fontId="0" fillId="4" borderId="1" xfId="0" applyNumberFormat="1" applyFill="1" applyBorder="1"/>
    <xf numFmtId="164" fontId="0" fillId="0" borderId="1" xfId="0" applyNumberFormat="1" applyBorder="1"/>
    <xf numFmtId="0" fontId="0" fillId="0" borderId="0" xfId="0" applyAlignment="1">
      <alignment vertical="top" wrapText="1"/>
    </xf>
  </cellXfs>
  <cellStyles count="1">
    <cellStyle name="Normal" xfId="0" builtinId="0"/>
  </cellStyles>
  <dxfs count="3">
    <dxf>
      <font>
        <b/>
      </font>
      <fill>
        <patternFill>
          <bgColor rgb="FFC8E6C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</font>
      <fill>
        <patternFill>
          <bgColor rgb="FFFFF9C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</font>
      <fill>
        <patternFill>
          <bgColor rgb="FFFFCDD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E70"/>
  <sheetViews>
    <sheetView tabSelected="1" workbookViewId="0"/>
  </sheetViews>
  <sheetFormatPr defaultRowHeight="15"/>
  <cols>
    <col min="1" max="1" width="5.7109375" customWidth="1"/>
    <col min="2" max="2" width="30.7109375" customWidth="1"/>
    <col min="3" max="3" width="20.7109375" customWidth="1"/>
    <col min="4" max="4" width="15.7109375" customWidth="1"/>
    <col min="5" max="5" width="45.7109375" customWidth="1"/>
  </cols>
  <sheetData>
    <row r="2" spans="2:5">
      <c r="B2" s="1" t="s">
        <v>0</v>
      </c>
      <c r="C2" s="1"/>
      <c r="D2" s="1"/>
      <c r="E2" s="1"/>
    </row>
    <row r="3" spans="2:5">
      <c r="B3" s="2" t="s">
        <v>1</v>
      </c>
      <c r="C3" s="2"/>
      <c r="D3" s="2"/>
      <c r="E3" s="2"/>
    </row>
    <row r="6" spans="2:5">
      <c r="B6" s="3" t="s">
        <v>2</v>
      </c>
      <c r="C6" s="4" t="s">
        <v>3</v>
      </c>
    </row>
    <row r="8" spans="2:5">
      <c r="B8" s="2" t="s">
        <v>4</v>
      </c>
      <c r="C8" s="2"/>
      <c r="D8" s="2"/>
      <c r="E8" s="2"/>
    </row>
    <row r="9" spans="2:5">
      <c r="B9" s="3" t="s">
        <v>5</v>
      </c>
      <c r="C9" s="4"/>
      <c r="E9" s="5" t="s">
        <v>6</v>
      </c>
    </row>
    <row r="10" spans="2:5">
      <c r="B10" s="3" t="s">
        <v>7</v>
      </c>
      <c r="C10" s="4"/>
      <c r="E10" s="5" t="s">
        <v>8</v>
      </c>
    </row>
    <row r="11" spans="2:5">
      <c r="B11" s="3" t="s">
        <v>9</v>
      </c>
      <c r="C11" s="4"/>
      <c r="E11" s="5" t="s">
        <v>10</v>
      </c>
    </row>
    <row r="12" spans="2:5">
      <c r="B12" s="3" t="s">
        <v>11</v>
      </c>
      <c r="C12" s="4">
        <v>100</v>
      </c>
      <c r="E12" s="5" t="s">
        <v>12</v>
      </c>
    </row>
    <row r="13" spans="2:5">
      <c r="B13" s="3" t="s">
        <v>13</v>
      </c>
      <c r="C13" s="4">
        <v>4</v>
      </c>
      <c r="E13" s="5" t="s">
        <v>14</v>
      </c>
    </row>
    <row r="14" spans="2:5">
      <c r="B14" s="3" t="s">
        <v>15</v>
      </c>
      <c r="C14" s="6">
        <f>C10*C11</f>
        <v>0</v>
      </c>
      <c r="E14" s="5" t="s">
        <v>16</v>
      </c>
    </row>
    <row r="15" spans="2:5">
      <c r="B15" s="3" t="s">
        <v>17</v>
      </c>
      <c r="C15" s="4">
        <v>20</v>
      </c>
      <c r="E15" s="5" t="s">
        <v>18</v>
      </c>
    </row>
    <row r="16" spans="2:5">
      <c r="B16" s="3" t="s">
        <v>19</v>
      </c>
      <c r="C16" s="7">
        <v>0.07000000000000001</v>
      </c>
      <c r="E16" s="5" t="s">
        <v>20</v>
      </c>
    </row>
    <row r="17" spans="2:5">
      <c r="B17" s="3" t="s">
        <v>21</v>
      </c>
      <c r="C17" s="4" t="s">
        <v>22</v>
      </c>
      <c r="E17" s="5" t="s">
        <v>23</v>
      </c>
    </row>
    <row r="19" spans="2:5">
      <c r="B19" s="2" t="s">
        <v>24</v>
      </c>
      <c r="C19" s="2"/>
      <c r="D19" s="2"/>
      <c r="E19" s="2"/>
    </row>
    <row r="20" spans="2:5">
      <c r="B20" s="3" t="s">
        <v>25</v>
      </c>
      <c r="C20" s="4" t="s">
        <v>26</v>
      </c>
      <c r="E20" s="5" t="s">
        <v>27</v>
      </c>
    </row>
    <row r="21" spans="2:5">
      <c r="B21" s="3" t="s">
        <v>28</v>
      </c>
      <c r="C21" s="7">
        <v>0.85</v>
      </c>
      <c r="E21" s="5" t="s">
        <v>29</v>
      </c>
    </row>
    <row r="22" spans="2:5">
      <c r="B22" s="3" t="s">
        <v>30</v>
      </c>
      <c r="C22" s="7">
        <v>0.025</v>
      </c>
      <c r="E22" s="5" t="s">
        <v>31</v>
      </c>
    </row>
    <row r="23" spans="2:5">
      <c r="B23" s="3" t="s">
        <v>32</v>
      </c>
      <c r="C23" s="4">
        <v>6000</v>
      </c>
      <c r="E23" s="5" t="s">
        <v>33</v>
      </c>
    </row>
    <row r="24" spans="2:5">
      <c r="B24" s="3" t="s">
        <v>34</v>
      </c>
      <c r="C24" s="4">
        <v>12</v>
      </c>
      <c r="E24" s="5" t="s">
        <v>35</v>
      </c>
    </row>
    <row r="25" spans="2:5">
      <c r="B25" s="3" t="s">
        <v>36</v>
      </c>
      <c r="C25" s="4">
        <v>1</v>
      </c>
      <c r="E25" s="5" t="s">
        <v>37</v>
      </c>
    </row>
    <row r="27" spans="2:5">
      <c r="B27" s="2" t="s">
        <v>38</v>
      </c>
      <c r="C27" s="2"/>
      <c r="D27" s="2"/>
      <c r="E27" s="2"/>
    </row>
    <row r="28" spans="2:5">
      <c r="B28" s="3" t="s">
        <v>39</v>
      </c>
      <c r="C28" s="8">
        <v>160</v>
      </c>
      <c r="D28" t="s">
        <v>40</v>
      </c>
      <c r="E28" s="5" t="s">
        <v>41</v>
      </c>
    </row>
    <row r="29" spans="2:5">
      <c r="B29" s="3" t="s">
        <v>42</v>
      </c>
      <c r="C29" s="8">
        <v>25</v>
      </c>
      <c r="D29" t="s">
        <v>43</v>
      </c>
      <c r="E29" s="5" t="s">
        <v>44</v>
      </c>
    </row>
    <row r="30" spans="2:5">
      <c r="B30" s="3" t="s">
        <v>45</v>
      </c>
      <c r="C30" s="8">
        <v>0</v>
      </c>
      <c r="D30" t="s">
        <v>46</v>
      </c>
      <c r="E30" s="5" t="s">
        <v>47</v>
      </c>
    </row>
    <row r="31" spans="2:5">
      <c r="B31" s="3" t="s">
        <v>48</v>
      </c>
      <c r="C31" s="8">
        <v>55</v>
      </c>
      <c r="D31" t="s">
        <v>40</v>
      </c>
      <c r="E31" s="5" t="s">
        <v>49</v>
      </c>
    </row>
    <row r="32" spans="2:5">
      <c r="B32" s="3" t="s">
        <v>50</v>
      </c>
      <c r="C32" s="8">
        <v>10</v>
      </c>
      <c r="D32" t="s">
        <v>51</v>
      </c>
      <c r="E32" s="5" t="s">
        <v>52</v>
      </c>
    </row>
    <row r="33" spans="2:5">
      <c r="B33" s="3" t="s">
        <v>53</v>
      </c>
      <c r="C33" s="8">
        <v>30</v>
      </c>
      <c r="D33" t="s">
        <v>46</v>
      </c>
      <c r="E33" s="5" t="s">
        <v>54</v>
      </c>
    </row>
    <row r="34" spans="2:5">
      <c r="B34" s="3" t="s">
        <v>55</v>
      </c>
      <c r="C34" s="8">
        <v>0.1</v>
      </c>
      <c r="D34" t="s">
        <v>56</v>
      </c>
      <c r="E34" s="5" t="s">
        <v>57</v>
      </c>
    </row>
    <row r="36" spans="2:5">
      <c r="B36" s="2" t="s">
        <v>58</v>
      </c>
      <c r="C36" s="2"/>
      <c r="D36" s="2"/>
      <c r="E36" s="2"/>
    </row>
    <row r="37" spans="2:5">
      <c r="B37" s="3" t="s">
        <v>59</v>
      </c>
      <c r="C37" s="7">
        <v>0.3</v>
      </c>
      <c r="E37" s="5" t="s">
        <v>60</v>
      </c>
    </row>
    <row r="38" spans="2:5">
      <c r="B38" s="3" t="s">
        <v>61</v>
      </c>
      <c r="C38" s="7">
        <v>0</v>
      </c>
      <c r="E38" s="5" t="s">
        <v>62</v>
      </c>
    </row>
    <row r="40" spans="2:5">
      <c r="B40" s="2" t="s">
        <v>63</v>
      </c>
      <c r="C40" s="2"/>
      <c r="D40" s="2"/>
      <c r="E40" s="2"/>
    </row>
    <row r="41" spans="2:5">
      <c r="B41" s="3" t="s">
        <v>64</v>
      </c>
      <c r="C41" s="8">
        <v>100</v>
      </c>
      <c r="D41" t="s">
        <v>51</v>
      </c>
      <c r="E41" s="5" t="s">
        <v>65</v>
      </c>
    </row>
    <row r="42" spans="2:5">
      <c r="B42" s="3" t="s">
        <v>66</v>
      </c>
      <c r="C42" s="8">
        <v>10</v>
      </c>
      <c r="D42" t="s">
        <v>51</v>
      </c>
      <c r="E42" s="5" t="s">
        <v>67</v>
      </c>
    </row>
    <row r="43" spans="2:5">
      <c r="B43" s="3" t="s">
        <v>68</v>
      </c>
      <c r="C43" s="8">
        <v>15</v>
      </c>
      <c r="D43" t="s">
        <v>51</v>
      </c>
      <c r="E43" s="5" t="s">
        <v>69</v>
      </c>
    </row>
    <row r="44" spans="2:5">
      <c r="B44" s="3" t="s">
        <v>70</v>
      </c>
      <c r="C44" s="7">
        <v>0.005</v>
      </c>
      <c r="D44" t="s">
        <v>56</v>
      </c>
      <c r="E44" s="5" t="s">
        <v>71</v>
      </c>
    </row>
    <row r="45" spans="2:5">
      <c r="B45" s="3" t="s">
        <v>72</v>
      </c>
      <c r="C45" s="7">
        <v>0.01</v>
      </c>
      <c r="D45" t="s">
        <v>56</v>
      </c>
      <c r="E45" s="5" t="s">
        <v>73</v>
      </c>
    </row>
    <row r="47" spans="2:5">
      <c r="B47" s="2" t="s">
        <v>74</v>
      </c>
      <c r="C47" s="2"/>
      <c r="D47" s="2"/>
      <c r="E47" s="2"/>
    </row>
    <row r="48" spans="2:5">
      <c r="B48" s="3" t="s">
        <v>75</v>
      </c>
      <c r="C48" s="7">
        <v>0.6</v>
      </c>
      <c r="E48" s="5" t="s">
        <v>76</v>
      </c>
    </row>
    <row r="49" spans="2:5">
      <c r="B49" s="3" t="s">
        <v>77</v>
      </c>
      <c r="C49" s="7">
        <v>0.05</v>
      </c>
      <c r="E49" s="5" t="s">
        <v>78</v>
      </c>
    </row>
    <row r="50" spans="2:5">
      <c r="B50" s="3" t="s">
        <v>79</v>
      </c>
      <c r="C50" s="4">
        <v>15</v>
      </c>
      <c r="E50" s="5" t="s">
        <v>80</v>
      </c>
    </row>
    <row r="51" spans="2:5">
      <c r="B51" s="3" t="s">
        <v>81</v>
      </c>
      <c r="C51" s="7">
        <v>0.1</v>
      </c>
      <c r="E51" s="5" t="s">
        <v>82</v>
      </c>
    </row>
    <row r="52" spans="2:5">
      <c r="B52" s="3" t="s">
        <v>83</v>
      </c>
      <c r="C52" s="7">
        <v>0.21</v>
      </c>
      <c r="E52" s="5" t="s">
        <v>84</v>
      </c>
    </row>
    <row r="53" spans="2:5">
      <c r="B53" s="3" t="s">
        <v>85</v>
      </c>
      <c r="C53" s="6">
        <f>(1-C48)*C51+C48*C49*(1-C52)</f>
        <v>0</v>
      </c>
      <c r="E53" s="5" t="s">
        <v>86</v>
      </c>
    </row>
    <row r="55" spans="2:5">
      <c r="B55" s="2" t="s">
        <v>87</v>
      </c>
      <c r="C55" s="2"/>
      <c r="D55" s="2"/>
      <c r="E55" s="2"/>
    </row>
    <row r="56" spans="2:5">
      <c r="B56" s="9" t="s">
        <v>88</v>
      </c>
      <c r="C56" s="9" t="s">
        <v>89</v>
      </c>
      <c r="D56" s="9" t="s">
        <v>90</v>
      </c>
      <c r="E56" s="9" t="s">
        <v>91</v>
      </c>
    </row>
    <row r="57" spans="2:5">
      <c r="B57" t="s">
        <v>92</v>
      </c>
      <c r="C57" s="8">
        <v>150</v>
      </c>
      <c r="D57" s="7">
        <v>0.02</v>
      </c>
      <c r="E57" s="5" t="s">
        <v>93</v>
      </c>
    </row>
    <row r="58" spans="2:5">
      <c r="B58" t="s">
        <v>94</v>
      </c>
      <c r="C58" s="8">
        <v>40</v>
      </c>
      <c r="D58" s="7">
        <v>0.015</v>
      </c>
      <c r="E58" s="5" t="s">
        <v>95</v>
      </c>
    </row>
    <row r="59" spans="2:5">
      <c r="B59" t="s">
        <v>96</v>
      </c>
      <c r="C59" s="8">
        <v>15</v>
      </c>
      <c r="D59" s="7">
        <v>0.01</v>
      </c>
      <c r="E59" s="5" t="s">
        <v>97</v>
      </c>
    </row>
    <row r="60" spans="2:5">
      <c r="B60" t="s">
        <v>98</v>
      </c>
      <c r="C60" s="8">
        <v>25</v>
      </c>
      <c r="D60" s="7">
        <v>0.02</v>
      </c>
      <c r="E60" s="5" t="s">
        <v>99</v>
      </c>
    </row>
    <row r="61" spans="2:5">
      <c r="B61" t="s">
        <v>100</v>
      </c>
      <c r="C61" s="8">
        <v>50</v>
      </c>
      <c r="D61" s="7">
        <v>0.02</v>
      </c>
      <c r="E61" s="5" t="s">
        <v>101</v>
      </c>
    </row>
    <row r="62" spans="2:5">
      <c r="B62" t="s">
        <v>102</v>
      </c>
      <c r="C62" s="8">
        <v>25</v>
      </c>
      <c r="D62" s="7">
        <v>0.02</v>
      </c>
      <c r="E62" s="5" t="s">
        <v>103</v>
      </c>
    </row>
    <row r="63" spans="2:5">
      <c r="B63" t="s">
        <v>104</v>
      </c>
      <c r="C63" s="8">
        <v>15</v>
      </c>
      <c r="D63" s="7">
        <v>0.03</v>
      </c>
      <c r="E63" s="5" t="s">
        <v>105</v>
      </c>
    </row>
    <row r="64" spans="2:5">
      <c r="B64" t="s">
        <v>106</v>
      </c>
      <c r="C64" s="8">
        <v>8</v>
      </c>
      <c r="D64" s="7">
        <v>0.01</v>
      </c>
      <c r="E64" s="5" t="s">
        <v>107</v>
      </c>
    </row>
    <row r="66" spans="2:5">
      <c r="B66" s="2" t="s">
        <v>108</v>
      </c>
      <c r="C66" s="2"/>
      <c r="D66" s="2"/>
      <c r="E66" s="2"/>
    </row>
    <row r="67" spans="2:5">
      <c r="B67" s="3" t="s">
        <v>109</v>
      </c>
      <c r="C67" s="7">
        <v>0.1</v>
      </c>
      <c r="E67" s="5" t="s">
        <v>110</v>
      </c>
    </row>
    <row r="68" spans="2:5">
      <c r="B68" s="3" t="s">
        <v>111</v>
      </c>
      <c r="C68" s="4">
        <v>2024</v>
      </c>
      <c r="E68" s="5" t="s">
        <v>112</v>
      </c>
    </row>
    <row r="70" spans="2:5">
      <c r="B70" s="2" t="s">
        <v>113</v>
      </c>
      <c r="C70" s="2"/>
      <c r="D70" s="2"/>
      <c r="E70" s="2"/>
    </row>
  </sheetData>
  <mergeCells count="11">
    <mergeCell ref="B2:E2"/>
    <mergeCell ref="B3:E3"/>
    <mergeCell ref="B8:E8"/>
    <mergeCell ref="B19:E19"/>
    <mergeCell ref="B27:E27"/>
    <mergeCell ref="B36:E36"/>
    <mergeCell ref="B40:E40"/>
    <mergeCell ref="B47:E47"/>
    <mergeCell ref="B55:E55"/>
    <mergeCell ref="B66:E66"/>
    <mergeCell ref="B70:E70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2:E25"/>
  <sheetViews>
    <sheetView workbookViewId="0"/>
  </sheetViews>
  <sheetFormatPr defaultRowHeight="15"/>
  <cols>
    <col min="1" max="1" width="3.7109375" customWidth="1"/>
    <col min="2" max="2" width="25.7109375" customWidth="1"/>
    <col min="3" max="3" width="20.7109375" customWidth="1"/>
    <col min="4" max="4" width="15.7109375" customWidth="1"/>
    <col min="5" max="5" width="40.7109375" customWidth="1"/>
  </cols>
  <sheetData>
    <row r="2" spans="2:5">
      <c r="B2" s="1" t="s">
        <v>178</v>
      </c>
      <c r="C2" s="1"/>
      <c r="D2" s="1"/>
      <c r="E2" s="1"/>
    </row>
    <row r="4" spans="2:5">
      <c r="B4" s="2" t="s">
        <v>179</v>
      </c>
      <c r="C4" s="2"/>
      <c r="D4" s="2"/>
      <c r="E4" s="2"/>
    </row>
    <row r="5" spans="2:5">
      <c r="B5" s="3" t="s">
        <v>180</v>
      </c>
      <c r="C5" s="10">
        <f>Inputs!C7</f>
        <v>0</v>
      </c>
    </row>
    <row r="6" spans="2:5">
      <c r="B6" s="3" t="s">
        <v>9</v>
      </c>
      <c r="C6" s="10">
        <f>Inputs!C9</f>
        <v>0</v>
      </c>
    </row>
    <row r="7" spans="2:5">
      <c r="B7" s="3" t="s">
        <v>181</v>
      </c>
      <c r="C7" s="10">
        <f>Inputs!C10&amp;" MW / "&amp;Inputs!C12&amp;" MWh"</f>
        <v>0</v>
      </c>
    </row>
    <row r="8" spans="2:5">
      <c r="B8" s="3" t="s">
        <v>182</v>
      </c>
      <c r="C8" s="11">
        <f>Calculations!C9</f>
        <v>0</v>
      </c>
    </row>
    <row r="10" spans="2:5">
      <c r="B10" s="2" t="s">
        <v>183</v>
      </c>
      <c r="C10" s="2"/>
      <c r="D10" s="2"/>
      <c r="E10" s="2"/>
    </row>
    <row r="11" spans="2:5">
      <c r="B11" s="3" t="s">
        <v>184</v>
      </c>
      <c r="C11" s="12">
        <f>Cash_Flows!W27/Cash_Flows!V27</f>
        <v>0</v>
      </c>
      <c r="E11" s="5" t="s">
        <v>185</v>
      </c>
    </row>
    <row r="12" spans="2:5">
      <c r="B12" s="3" t="s">
        <v>186</v>
      </c>
      <c r="C12" s="11">
        <f>Cash_Flows!W27-Cash_Flows!V27</f>
        <v>0</v>
      </c>
      <c r="E12" s="5" t="s">
        <v>187</v>
      </c>
    </row>
    <row r="13" spans="2:5">
      <c r="B13" s="3" t="s">
        <v>188</v>
      </c>
      <c r="C13" s="13">
        <f>IRR(Cash_Flows!T5:T25)</f>
        <v>0</v>
      </c>
      <c r="E13" s="5" t="s">
        <v>171</v>
      </c>
    </row>
    <row r="14" spans="2:5">
      <c r="B14" s="3" t="s">
        <v>189</v>
      </c>
      <c r="C14" s="14">
        <f>MATCH(TRUE,INDEX(Cash_Flows!X5:X25&gt;0,0),0)-1</f>
        <v>0</v>
      </c>
      <c r="E14" s="5" t="s">
        <v>190</v>
      </c>
    </row>
    <row r="15" spans="2:5">
      <c r="B15" s="3" t="s">
        <v>191</v>
      </c>
      <c r="C15" s="15">
        <f>Cash_Flows!V27</f>
        <v>0</v>
      </c>
      <c r="E15" s="5" t="s">
        <v>192</v>
      </c>
    </row>
    <row r="16" spans="2:5">
      <c r="B16" s="3" t="s">
        <v>193</v>
      </c>
      <c r="C16" s="15">
        <f>Cash_Flows!W27</f>
        <v>0</v>
      </c>
      <c r="E16" s="5" t="s">
        <v>194</v>
      </c>
    </row>
    <row r="18" spans="2:5">
      <c r="B18" s="2" t="s">
        <v>195</v>
      </c>
      <c r="C18" s="2"/>
      <c r="D18" s="2"/>
      <c r="E18" s="2"/>
    </row>
    <row r="19" spans="2:5">
      <c r="B19" s="10">
        <f>IF(C11&gt;=1.5,"APPROVE - Strong economic case",IF(C11&gt;=1,"FURTHER STUDY - Marginal economics","REJECT - Costs exceed benefits"))</f>
        <v>0</v>
      </c>
      <c r="C19" s="10"/>
      <c r="D19" s="10"/>
      <c r="E19" s="10"/>
    </row>
    <row r="21" spans="2:5">
      <c r="B21" s="2" t="s">
        <v>196</v>
      </c>
      <c r="C21" s="2"/>
      <c r="D21" s="2"/>
      <c r="E21" s="2"/>
    </row>
    <row r="22" spans="2:5">
      <c r="B22" s="3" t="s">
        <v>197</v>
      </c>
      <c r="C22" s="11">
        <f>Cash_Flows!V27/(Calculations!C13*NPV(Inputs!C14,Cash_Flows!U5:U25))</f>
        <v>0</v>
      </c>
      <c r="E22" s="5" t="s">
        <v>198</v>
      </c>
    </row>
    <row r="24" spans="2:5">
      <c r="B24" s="2" t="s">
        <v>199</v>
      </c>
      <c r="C24" s="2"/>
      <c r="D24" s="2"/>
      <c r="E24" s="2"/>
    </row>
    <row r="25" spans="2:5">
      <c r="B25" s="3" t="s">
        <v>200</v>
      </c>
      <c r="C25" s="11">
        <f>(Cash_Flows!W27-(Cash_Flows!V27-Calculations!C11))/(Inputs!C12*1000)</f>
        <v>0</v>
      </c>
      <c r="E25" s="5" t="s">
        <v>201</v>
      </c>
    </row>
  </sheetData>
  <mergeCells count="7">
    <mergeCell ref="B2:E2"/>
    <mergeCell ref="B4:E4"/>
    <mergeCell ref="B10:E10"/>
    <mergeCell ref="B18:E18"/>
    <mergeCell ref="B19:E19"/>
    <mergeCell ref="B21:E21"/>
    <mergeCell ref="B24:E24"/>
  </mergeCells>
  <conditionalFormatting sqref="C11">
    <cfRule type="cellIs" dxfId="0" priority="1" operator="greaterThanOrEqual">
      <formula>1.5</formula>
    </cfRule>
    <cfRule type="cellIs" dxfId="1" priority="2" operator="between">
      <formula>1</formula>
      <formula>1.5</formula>
    </cfRule>
    <cfRule type="cellIs" dxfId="2" priority="3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B2:X27"/>
  <sheetViews>
    <sheetView workbookViewId="0"/>
  </sheetViews>
  <sheetFormatPr defaultRowHeight="15"/>
  <cols>
    <col min="1" max="1" width="5.7109375" customWidth="1"/>
    <col min="2" max="2" width="8.7109375" customWidth="1"/>
    <col min="3" max="19" width="14.7109375" customWidth="1"/>
  </cols>
  <sheetData>
    <row r="2" spans="2:24">
      <c r="B2" s="1" t="s">
        <v>114</v>
      </c>
    </row>
    <row r="4" spans="2:24">
      <c r="B4" s="9" t="s">
        <v>115</v>
      </c>
      <c r="C4" s="9" t="s">
        <v>116</v>
      </c>
      <c r="D4" s="9" t="s">
        <v>117</v>
      </c>
      <c r="E4" s="9" t="s">
        <v>118</v>
      </c>
      <c r="F4" s="9" t="s">
        <v>119</v>
      </c>
      <c r="G4" s="9" t="s">
        <v>120</v>
      </c>
      <c r="H4" s="9" t="s">
        <v>121</v>
      </c>
      <c r="I4" s="9" t="s">
        <v>122</v>
      </c>
      <c r="J4" s="9" t="s">
        <v>123</v>
      </c>
      <c r="K4" s="9" t="s">
        <v>124</v>
      </c>
      <c r="L4" s="9" t="s">
        <v>125</v>
      </c>
      <c r="M4" s="9" t="s">
        <v>126</v>
      </c>
      <c r="N4" s="9" t="s">
        <v>127</v>
      </c>
      <c r="O4" s="9" t="s">
        <v>128</v>
      </c>
      <c r="P4" s="9" t="s">
        <v>129</v>
      </c>
      <c r="Q4" s="9" t="s">
        <v>130</v>
      </c>
      <c r="R4" s="9" t="s">
        <v>131</v>
      </c>
      <c r="S4" s="9" t="s">
        <v>132</v>
      </c>
      <c r="T4" s="9" t="s">
        <v>133</v>
      </c>
      <c r="U4" s="9" t="s">
        <v>134</v>
      </c>
      <c r="V4" s="9" t="s">
        <v>135</v>
      </c>
      <c r="W4" s="9" t="s">
        <v>136</v>
      </c>
      <c r="X4" s="9" t="s">
        <v>137</v>
      </c>
    </row>
    <row r="5" spans="2:24">
      <c r="B5">
        <v>0</v>
      </c>
      <c r="C5" s="16">
        <f>Calculations!C11</f>
        <v>0</v>
      </c>
      <c r="D5" s="16">
        <v>0</v>
      </c>
      <c r="E5" s="16">
        <v>0</v>
      </c>
      <c r="F5" s="16">
        <v>0</v>
      </c>
      <c r="G5" s="16">
        <v>0</v>
      </c>
      <c r="H5" s="16">
        <v>0</v>
      </c>
      <c r="I5" s="16">
        <v>0</v>
      </c>
      <c r="J5" s="17">
        <f>SUM(C5:I5)</f>
        <v>0</v>
      </c>
      <c r="K5" s="16">
        <v>0</v>
      </c>
      <c r="L5" s="16">
        <v>0</v>
      </c>
      <c r="M5" s="16">
        <v>0</v>
      </c>
      <c r="N5" s="16">
        <v>0</v>
      </c>
      <c r="O5" s="16">
        <v>0</v>
      </c>
      <c r="P5" s="16">
        <v>0</v>
      </c>
      <c r="Q5" s="16">
        <v>0</v>
      </c>
      <c r="R5" s="16">
        <v>0</v>
      </c>
      <c r="S5" s="17">
        <f>SUM(K5:R5)</f>
        <v>0</v>
      </c>
      <c r="T5" s="17">
        <f>S5-J5</f>
        <v>0</v>
      </c>
      <c r="U5" s="18">
        <f>1/(1+Inputs!$C$14)^B5</f>
        <v>0</v>
      </c>
      <c r="V5" s="16">
        <f>J5*U5</f>
        <v>0</v>
      </c>
      <c r="W5" s="16">
        <f>S5*U5</f>
        <v>0</v>
      </c>
      <c r="X5" s="16">
        <f>T5</f>
        <v>0</v>
      </c>
    </row>
    <row r="6" spans="2:24">
      <c r="B6">
        <v>1</v>
      </c>
      <c r="C6" s="16">
        <v>0</v>
      </c>
      <c r="D6" s="16">
        <f>Calculations!C12</f>
        <v>0</v>
      </c>
      <c r="E6" s="16">
        <v>0</v>
      </c>
      <c r="F6" s="16">
        <f>Calculations!C9*Inputs!$C$40</f>
        <v>0</v>
      </c>
      <c r="G6" s="16">
        <f>Calculations!$C$9*(1-1/Inputs!$C$13)*Inputs!$C$41</f>
        <v>0</v>
      </c>
      <c r="H6" s="16">
        <v>0</v>
      </c>
      <c r="I6" s="16">
        <v>0</v>
      </c>
      <c r="J6" s="17">
        <f>SUM(C6:I6)</f>
        <v>0</v>
      </c>
      <c r="K6" s="16">
        <f>Inputs!$C$45*Inputs!$C$10*1000*(1+Inputs!$D$45)^0*(1-Inputs!$C$20)^0</f>
        <v>0</v>
      </c>
      <c r="L6" s="16">
        <f>Inputs!$C$46*Inputs!$C$10*1000*(1+Inputs!$D$46)^0*(1-Inputs!$C$20)^0</f>
        <v>0</v>
      </c>
      <c r="M6" s="16">
        <f>Inputs!$C$47*Inputs!$C$10*1000*(1+Inputs!$D$47)^0*(1-Inputs!$C$20)^0</f>
        <v>0</v>
      </c>
      <c r="N6" s="16">
        <f>Inputs!$C$48*Inputs!$C$10*1000*(1+Inputs!$D$48)^0*(1-Inputs!$C$20)^0</f>
        <v>0</v>
      </c>
      <c r="O6" s="16">
        <f>Inputs!$C$49*Inputs!$C$10*1000*(1+Inputs!$D$49)^0*(1-Inputs!$C$20)^0</f>
        <v>0</v>
      </c>
      <c r="P6" s="16">
        <f>Inputs!$C$50*Inputs!$C$10*1000*(1+Inputs!$D$50)^0</f>
        <v>0</v>
      </c>
      <c r="Q6" s="16">
        <f>Inputs!$C$51*Inputs!$C$10*1000*(1+Inputs!$D$51)^0</f>
        <v>0</v>
      </c>
      <c r="R6" s="16">
        <f>Inputs!$C$52*Inputs!$C$10*1000*(1+Inputs!$D$52)^0</f>
        <v>0</v>
      </c>
      <c r="S6" s="17">
        <f>SUM(K6:R6)</f>
        <v>0</v>
      </c>
      <c r="T6" s="17">
        <f>S6-J6</f>
        <v>0</v>
      </c>
      <c r="U6" s="18">
        <f>1/(1+Inputs!$C$14)^B6</f>
        <v>0</v>
      </c>
      <c r="V6" s="16">
        <f>J6*U6</f>
        <v>0</v>
      </c>
      <c r="W6" s="16">
        <f>S6*U6</f>
        <v>0</v>
      </c>
      <c r="X6" s="16">
        <f>X5+T6</f>
        <v>0</v>
      </c>
    </row>
    <row r="7" spans="2:24">
      <c r="B7">
        <v>2</v>
      </c>
      <c r="C7" s="16">
        <v>0</v>
      </c>
      <c r="D7" s="16">
        <f>Calculations!C12</f>
        <v>0</v>
      </c>
      <c r="E7" s="16">
        <v>0</v>
      </c>
      <c r="F7" s="16">
        <f>Calculations!C9*Inputs!$C$40</f>
        <v>0</v>
      </c>
      <c r="G7" s="16">
        <f>Calculations!$C$9*(1-2/Inputs!$C$13)*Inputs!$C$41</f>
        <v>0</v>
      </c>
      <c r="H7" s="16">
        <v>0</v>
      </c>
      <c r="I7" s="16">
        <v>0</v>
      </c>
      <c r="J7" s="17">
        <f>SUM(C7:I7)</f>
        <v>0</v>
      </c>
      <c r="K7" s="16">
        <f>Inputs!$C$45*Inputs!$C$10*1000*(1+Inputs!$D$45)^1*(1-Inputs!$C$20)^1</f>
        <v>0</v>
      </c>
      <c r="L7" s="16">
        <f>Inputs!$C$46*Inputs!$C$10*1000*(1+Inputs!$D$46)^1*(1-Inputs!$C$20)^1</f>
        <v>0</v>
      </c>
      <c r="M7" s="16">
        <f>Inputs!$C$47*Inputs!$C$10*1000*(1+Inputs!$D$47)^1*(1-Inputs!$C$20)^1</f>
        <v>0</v>
      </c>
      <c r="N7" s="16">
        <f>Inputs!$C$48*Inputs!$C$10*1000*(1+Inputs!$D$48)^1*(1-Inputs!$C$20)^1</f>
        <v>0</v>
      </c>
      <c r="O7" s="16">
        <f>Inputs!$C$49*Inputs!$C$10*1000*(1+Inputs!$D$49)^1*(1-Inputs!$C$20)^1</f>
        <v>0</v>
      </c>
      <c r="P7" s="16">
        <f>Inputs!$C$50*Inputs!$C$10*1000*(1+Inputs!$D$50)^1</f>
        <v>0</v>
      </c>
      <c r="Q7" s="16">
        <f>Inputs!$C$51*Inputs!$C$10*1000*(1+Inputs!$D$51)^1</f>
        <v>0</v>
      </c>
      <c r="R7" s="16">
        <f>Inputs!$C$52*Inputs!$C$10*1000*(1+Inputs!$D$52)^1</f>
        <v>0</v>
      </c>
      <c r="S7" s="17">
        <f>SUM(K7:R7)</f>
        <v>0</v>
      </c>
      <c r="T7" s="17">
        <f>S7-J7</f>
        <v>0</v>
      </c>
      <c r="U7" s="18">
        <f>1/(1+Inputs!$C$14)^B7</f>
        <v>0</v>
      </c>
      <c r="V7" s="16">
        <f>J7*U7</f>
        <v>0</v>
      </c>
      <c r="W7" s="16">
        <f>S7*U7</f>
        <v>0</v>
      </c>
      <c r="X7" s="16">
        <f>X6+T7</f>
        <v>0</v>
      </c>
    </row>
    <row r="8" spans="2:24">
      <c r="B8">
        <v>3</v>
      </c>
      <c r="C8" s="16">
        <v>0</v>
      </c>
      <c r="D8" s="16">
        <f>Calculations!C12</f>
        <v>0</v>
      </c>
      <c r="E8" s="16">
        <v>0</v>
      </c>
      <c r="F8" s="16">
        <f>Calculations!C9*Inputs!$C$40</f>
        <v>0</v>
      </c>
      <c r="G8" s="16">
        <f>Calculations!$C$9*(1-3/Inputs!$C$13)*Inputs!$C$41</f>
        <v>0</v>
      </c>
      <c r="H8" s="16">
        <v>0</v>
      </c>
      <c r="I8" s="16">
        <v>0</v>
      </c>
      <c r="J8" s="17">
        <f>SUM(C8:I8)</f>
        <v>0</v>
      </c>
      <c r="K8" s="16">
        <f>Inputs!$C$45*Inputs!$C$10*1000*(1+Inputs!$D$45)^2*(1-Inputs!$C$20)^2</f>
        <v>0</v>
      </c>
      <c r="L8" s="16">
        <f>Inputs!$C$46*Inputs!$C$10*1000*(1+Inputs!$D$46)^2*(1-Inputs!$C$20)^2</f>
        <v>0</v>
      </c>
      <c r="M8" s="16">
        <f>Inputs!$C$47*Inputs!$C$10*1000*(1+Inputs!$D$47)^2*(1-Inputs!$C$20)^2</f>
        <v>0</v>
      </c>
      <c r="N8" s="16">
        <f>Inputs!$C$48*Inputs!$C$10*1000*(1+Inputs!$D$48)^2*(1-Inputs!$C$20)^2</f>
        <v>0</v>
      </c>
      <c r="O8" s="16">
        <f>Inputs!$C$49*Inputs!$C$10*1000*(1+Inputs!$D$49)^2*(1-Inputs!$C$20)^2</f>
        <v>0</v>
      </c>
      <c r="P8" s="16">
        <f>Inputs!$C$50*Inputs!$C$10*1000*(1+Inputs!$D$50)^2</f>
        <v>0</v>
      </c>
      <c r="Q8" s="16">
        <f>Inputs!$C$51*Inputs!$C$10*1000*(1+Inputs!$D$51)^2</f>
        <v>0</v>
      </c>
      <c r="R8" s="16">
        <f>Inputs!$C$52*Inputs!$C$10*1000*(1+Inputs!$D$52)^2</f>
        <v>0</v>
      </c>
      <c r="S8" s="17">
        <f>SUM(K8:R8)</f>
        <v>0</v>
      </c>
      <c r="T8" s="17">
        <f>S8-J8</f>
        <v>0</v>
      </c>
      <c r="U8" s="18">
        <f>1/(1+Inputs!$C$14)^B8</f>
        <v>0</v>
      </c>
      <c r="V8" s="16">
        <f>J8*U8</f>
        <v>0</v>
      </c>
      <c r="W8" s="16">
        <f>S8*U8</f>
        <v>0</v>
      </c>
      <c r="X8" s="16">
        <f>X7+T8</f>
        <v>0</v>
      </c>
    </row>
    <row r="9" spans="2:24">
      <c r="B9">
        <v>4</v>
      </c>
      <c r="C9" s="16">
        <v>0</v>
      </c>
      <c r="D9" s="16">
        <f>Calculations!C12</f>
        <v>0</v>
      </c>
      <c r="E9" s="16">
        <v>0</v>
      </c>
      <c r="F9" s="16">
        <f>Calculations!C9*Inputs!$C$40</f>
        <v>0</v>
      </c>
      <c r="G9" s="16">
        <f>Calculations!$C$9*(1-4/Inputs!$C$13)*Inputs!$C$41</f>
        <v>0</v>
      </c>
      <c r="H9" s="16">
        <v>0</v>
      </c>
      <c r="I9" s="16">
        <v>0</v>
      </c>
      <c r="J9" s="17">
        <f>SUM(C9:I9)</f>
        <v>0</v>
      </c>
      <c r="K9" s="16">
        <f>Inputs!$C$45*Inputs!$C$10*1000*(1+Inputs!$D$45)^3*(1-Inputs!$C$20)^3</f>
        <v>0</v>
      </c>
      <c r="L9" s="16">
        <f>Inputs!$C$46*Inputs!$C$10*1000*(1+Inputs!$D$46)^3*(1-Inputs!$C$20)^3</f>
        <v>0</v>
      </c>
      <c r="M9" s="16">
        <f>Inputs!$C$47*Inputs!$C$10*1000*(1+Inputs!$D$47)^3*(1-Inputs!$C$20)^3</f>
        <v>0</v>
      </c>
      <c r="N9" s="16">
        <f>Inputs!$C$48*Inputs!$C$10*1000*(1+Inputs!$D$48)^3*(1-Inputs!$C$20)^3</f>
        <v>0</v>
      </c>
      <c r="O9" s="16">
        <f>Inputs!$C$49*Inputs!$C$10*1000*(1+Inputs!$D$49)^3*(1-Inputs!$C$20)^3</f>
        <v>0</v>
      </c>
      <c r="P9" s="16">
        <f>Inputs!$C$50*Inputs!$C$10*1000*(1+Inputs!$D$50)^3</f>
        <v>0</v>
      </c>
      <c r="Q9" s="16">
        <f>Inputs!$C$51*Inputs!$C$10*1000*(1+Inputs!$D$51)^3</f>
        <v>0</v>
      </c>
      <c r="R9" s="16">
        <f>Inputs!$C$52*Inputs!$C$10*1000*(1+Inputs!$D$52)^3</f>
        <v>0</v>
      </c>
      <c r="S9" s="17">
        <f>SUM(K9:R9)</f>
        <v>0</v>
      </c>
      <c r="T9" s="17">
        <f>S9-J9</f>
        <v>0</v>
      </c>
      <c r="U9" s="18">
        <f>1/(1+Inputs!$C$14)^B9</f>
        <v>0</v>
      </c>
      <c r="V9" s="16">
        <f>J9*U9</f>
        <v>0</v>
      </c>
      <c r="W9" s="16">
        <f>S9*U9</f>
        <v>0</v>
      </c>
      <c r="X9" s="16">
        <f>X8+T9</f>
        <v>0</v>
      </c>
    </row>
    <row r="10" spans="2:24">
      <c r="B10">
        <v>5</v>
      </c>
      <c r="C10" s="16">
        <v>0</v>
      </c>
      <c r="D10" s="16">
        <f>Calculations!C12</f>
        <v>0</v>
      </c>
      <c r="E10" s="16">
        <v>0</v>
      </c>
      <c r="F10" s="16">
        <f>Calculations!C9*Inputs!$C$40</f>
        <v>0</v>
      </c>
      <c r="G10" s="16">
        <f>Calculations!$C$9*(1-5/Inputs!$C$13)*Inputs!$C$41</f>
        <v>0</v>
      </c>
      <c r="H10" s="16">
        <v>0</v>
      </c>
      <c r="I10" s="16">
        <v>0</v>
      </c>
      <c r="J10" s="17">
        <f>SUM(C10:I10)</f>
        <v>0</v>
      </c>
      <c r="K10" s="16">
        <f>Inputs!$C$45*Inputs!$C$10*1000*(1+Inputs!$D$45)^4*(1-Inputs!$C$20)^4</f>
        <v>0</v>
      </c>
      <c r="L10" s="16">
        <f>Inputs!$C$46*Inputs!$C$10*1000*(1+Inputs!$D$46)^4*(1-Inputs!$C$20)^4</f>
        <v>0</v>
      </c>
      <c r="M10" s="16">
        <f>Inputs!$C$47*Inputs!$C$10*1000*(1+Inputs!$D$47)^4*(1-Inputs!$C$20)^4</f>
        <v>0</v>
      </c>
      <c r="N10" s="16">
        <f>Inputs!$C$48*Inputs!$C$10*1000*(1+Inputs!$D$48)^4*(1-Inputs!$C$20)^4</f>
        <v>0</v>
      </c>
      <c r="O10" s="16">
        <f>Inputs!$C$49*Inputs!$C$10*1000*(1+Inputs!$D$49)^4*(1-Inputs!$C$20)^4</f>
        <v>0</v>
      </c>
      <c r="P10" s="16">
        <f>Inputs!$C$50*Inputs!$C$10*1000*(1+Inputs!$D$50)^4</f>
        <v>0</v>
      </c>
      <c r="Q10" s="16">
        <f>Inputs!$C$51*Inputs!$C$10*1000*(1+Inputs!$D$51)^4</f>
        <v>0</v>
      </c>
      <c r="R10" s="16">
        <f>Inputs!$C$52*Inputs!$C$10*1000*(1+Inputs!$D$52)^4</f>
        <v>0</v>
      </c>
      <c r="S10" s="17">
        <f>SUM(K10:R10)</f>
        <v>0</v>
      </c>
      <c r="T10" s="17">
        <f>S10-J10</f>
        <v>0</v>
      </c>
      <c r="U10" s="18">
        <f>1/(1+Inputs!$C$14)^B10</f>
        <v>0</v>
      </c>
      <c r="V10" s="16">
        <f>J10*U10</f>
        <v>0</v>
      </c>
      <c r="W10" s="16">
        <f>S10*U10</f>
        <v>0</v>
      </c>
      <c r="X10" s="16">
        <f>X9+T10</f>
        <v>0</v>
      </c>
    </row>
    <row r="11" spans="2:24">
      <c r="B11">
        <v>6</v>
      </c>
      <c r="C11" s="16">
        <v>0</v>
      </c>
      <c r="D11" s="16">
        <f>Calculations!C12</f>
        <v>0</v>
      </c>
      <c r="E11" s="16">
        <v>0</v>
      </c>
      <c r="F11" s="16">
        <f>Calculations!C9*Inputs!$C$40</f>
        <v>0</v>
      </c>
      <c r="G11" s="16">
        <f>Calculations!$C$9*(1-6/Inputs!$C$13)*Inputs!$C$41</f>
        <v>0</v>
      </c>
      <c r="H11" s="16">
        <v>0</v>
      </c>
      <c r="I11" s="16">
        <v>0</v>
      </c>
      <c r="J11" s="17">
        <f>SUM(C11:I11)</f>
        <v>0</v>
      </c>
      <c r="K11" s="16">
        <f>Inputs!$C$45*Inputs!$C$10*1000*(1+Inputs!$D$45)^5*(1-Inputs!$C$20)^5</f>
        <v>0</v>
      </c>
      <c r="L11" s="16">
        <f>Inputs!$C$46*Inputs!$C$10*1000*(1+Inputs!$D$46)^5*(1-Inputs!$C$20)^5</f>
        <v>0</v>
      </c>
      <c r="M11" s="16">
        <f>Inputs!$C$47*Inputs!$C$10*1000*(1+Inputs!$D$47)^5*(1-Inputs!$C$20)^5</f>
        <v>0</v>
      </c>
      <c r="N11" s="16">
        <f>Inputs!$C$48*Inputs!$C$10*1000*(1+Inputs!$D$48)^5*(1-Inputs!$C$20)^5</f>
        <v>0</v>
      </c>
      <c r="O11" s="16">
        <f>Inputs!$C$49*Inputs!$C$10*1000*(1+Inputs!$D$49)^5*(1-Inputs!$C$20)^5</f>
        <v>0</v>
      </c>
      <c r="P11" s="16">
        <f>Inputs!$C$50*Inputs!$C$10*1000*(1+Inputs!$D$50)^5</f>
        <v>0</v>
      </c>
      <c r="Q11" s="16">
        <f>Inputs!$C$51*Inputs!$C$10*1000*(1+Inputs!$D$51)^5</f>
        <v>0</v>
      </c>
      <c r="R11" s="16">
        <f>Inputs!$C$52*Inputs!$C$10*1000*(1+Inputs!$D$52)^5</f>
        <v>0</v>
      </c>
      <c r="S11" s="17">
        <f>SUM(K11:R11)</f>
        <v>0</v>
      </c>
      <c r="T11" s="17">
        <f>S11-J11</f>
        <v>0</v>
      </c>
      <c r="U11" s="18">
        <f>1/(1+Inputs!$C$14)^B11</f>
        <v>0</v>
      </c>
      <c r="V11" s="16">
        <f>J11*U11</f>
        <v>0</v>
      </c>
      <c r="W11" s="16">
        <f>S11*U11</f>
        <v>0</v>
      </c>
      <c r="X11" s="16">
        <f>X10+T11</f>
        <v>0</v>
      </c>
    </row>
    <row r="12" spans="2:24">
      <c r="B12">
        <v>7</v>
      </c>
      <c r="C12" s="16">
        <v>0</v>
      </c>
      <c r="D12" s="16">
        <f>Calculations!C12</f>
        <v>0</v>
      </c>
      <c r="E12" s="16">
        <v>0</v>
      </c>
      <c r="F12" s="16">
        <f>Calculations!C9*Inputs!$C$40</f>
        <v>0</v>
      </c>
      <c r="G12" s="16">
        <f>Calculations!$C$9*(1-7/Inputs!$C$13)*Inputs!$C$41</f>
        <v>0</v>
      </c>
      <c r="H12" s="16">
        <v>0</v>
      </c>
      <c r="I12" s="16">
        <v>0</v>
      </c>
      <c r="J12" s="17">
        <f>SUM(C12:I12)</f>
        <v>0</v>
      </c>
      <c r="K12" s="16">
        <f>Inputs!$C$45*Inputs!$C$10*1000*(1+Inputs!$D$45)^6*(1-Inputs!$C$20)^6</f>
        <v>0</v>
      </c>
      <c r="L12" s="16">
        <f>Inputs!$C$46*Inputs!$C$10*1000*(1+Inputs!$D$46)^6*(1-Inputs!$C$20)^6</f>
        <v>0</v>
      </c>
      <c r="M12" s="16">
        <f>Inputs!$C$47*Inputs!$C$10*1000*(1+Inputs!$D$47)^6*(1-Inputs!$C$20)^6</f>
        <v>0</v>
      </c>
      <c r="N12" s="16">
        <f>Inputs!$C$48*Inputs!$C$10*1000*(1+Inputs!$D$48)^6*(1-Inputs!$C$20)^6</f>
        <v>0</v>
      </c>
      <c r="O12" s="16">
        <f>Inputs!$C$49*Inputs!$C$10*1000*(1+Inputs!$D$49)^6*(1-Inputs!$C$20)^6</f>
        <v>0</v>
      </c>
      <c r="P12" s="16">
        <f>Inputs!$C$50*Inputs!$C$10*1000*(1+Inputs!$D$50)^6</f>
        <v>0</v>
      </c>
      <c r="Q12" s="16">
        <f>Inputs!$C$51*Inputs!$C$10*1000*(1+Inputs!$D$51)^6</f>
        <v>0</v>
      </c>
      <c r="R12" s="16">
        <f>Inputs!$C$52*Inputs!$C$10*1000*(1+Inputs!$D$52)^6</f>
        <v>0</v>
      </c>
      <c r="S12" s="17">
        <f>SUM(K12:R12)</f>
        <v>0</v>
      </c>
      <c r="T12" s="17">
        <f>S12-J12</f>
        <v>0</v>
      </c>
      <c r="U12" s="18">
        <f>1/(1+Inputs!$C$14)^B12</f>
        <v>0</v>
      </c>
      <c r="V12" s="16">
        <f>J12*U12</f>
        <v>0</v>
      </c>
      <c r="W12" s="16">
        <f>S12*U12</f>
        <v>0</v>
      </c>
      <c r="X12" s="16">
        <f>X11+T12</f>
        <v>0</v>
      </c>
    </row>
    <row r="13" spans="2:24">
      <c r="B13">
        <v>8</v>
      </c>
      <c r="C13" s="16">
        <v>0</v>
      </c>
      <c r="D13" s="16">
        <f>Calculations!C12</f>
        <v>0</v>
      </c>
      <c r="E13" s="16">
        <v>0</v>
      </c>
      <c r="F13" s="16">
        <f>Calculations!C9*Inputs!$C$40</f>
        <v>0</v>
      </c>
      <c r="G13" s="16">
        <f>Calculations!$C$9*(1-8/Inputs!$C$13)*Inputs!$C$41</f>
        <v>0</v>
      </c>
      <c r="H13" s="16">
        <v>0</v>
      </c>
      <c r="I13" s="16">
        <v>0</v>
      </c>
      <c r="J13" s="17">
        <f>SUM(C13:I13)</f>
        <v>0</v>
      </c>
      <c r="K13" s="16">
        <f>Inputs!$C$45*Inputs!$C$10*1000*(1+Inputs!$D$45)^7*(1-Inputs!$C$20)^7</f>
        <v>0</v>
      </c>
      <c r="L13" s="16">
        <f>Inputs!$C$46*Inputs!$C$10*1000*(1+Inputs!$D$46)^7*(1-Inputs!$C$20)^7</f>
        <v>0</v>
      </c>
      <c r="M13" s="16">
        <f>Inputs!$C$47*Inputs!$C$10*1000*(1+Inputs!$D$47)^7*(1-Inputs!$C$20)^7</f>
        <v>0</v>
      </c>
      <c r="N13" s="16">
        <f>Inputs!$C$48*Inputs!$C$10*1000*(1+Inputs!$D$48)^7*(1-Inputs!$C$20)^7</f>
        <v>0</v>
      </c>
      <c r="O13" s="16">
        <f>Inputs!$C$49*Inputs!$C$10*1000*(1+Inputs!$D$49)^7*(1-Inputs!$C$20)^7</f>
        <v>0</v>
      </c>
      <c r="P13" s="16">
        <f>Inputs!$C$50*Inputs!$C$10*1000*(1+Inputs!$D$50)^7</f>
        <v>0</v>
      </c>
      <c r="Q13" s="16">
        <f>Inputs!$C$51*Inputs!$C$10*1000*(1+Inputs!$D$51)^7</f>
        <v>0</v>
      </c>
      <c r="R13" s="16">
        <f>Inputs!$C$52*Inputs!$C$10*1000*(1+Inputs!$D$52)^7</f>
        <v>0</v>
      </c>
      <c r="S13" s="17">
        <f>SUM(K13:R13)</f>
        <v>0</v>
      </c>
      <c r="T13" s="17">
        <f>S13-J13</f>
        <v>0</v>
      </c>
      <c r="U13" s="18">
        <f>1/(1+Inputs!$C$14)^B13</f>
        <v>0</v>
      </c>
      <c r="V13" s="16">
        <f>J13*U13</f>
        <v>0</v>
      </c>
      <c r="W13" s="16">
        <f>S13*U13</f>
        <v>0</v>
      </c>
      <c r="X13" s="16">
        <f>X12+T13</f>
        <v>0</v>
      </c>
    </row>
    <row r="14" spans="2:24">
      <c r="B14">
        <v>9</v>
      </c>
      <c r="C14" s="16">
        <v>0</v>
      </c>
      <c r="D14" s="16">
        <f>Calculations!C12</f>
        <v>0</v>
      </c>
      <c r="E14" s="16">
        <v>0</v>
      </c>
      <c r="F14" s="16">
        <f>Calculations!C9*Inputs!$C$40</f>
        <v>0</v>
      </c>
      <c r="G14" s="16">
        <f>Calculations!$C$9*(1-9/Inputs!$C$13)*Inputs!$C$41</f>
        <v>0</v>
      </c>
      <c r="H14" s="16">
        <v>0</v>
      </c>
      <c r="I14" s="16">
        <v>0</v>
      </c>
      <c r="J14" s="17">
        <f>SUM(C14:I14)</f>
        <v>0</v>
      </c>
      <c r="K14" s="16">
        <f>Inputs!$C$45*Inputs!$C$10*1000*(1+Inputs!$D$45)^8*(1-Inputs!$C$20)^8</f>
        <v>0</v>
      </c>
      <c r="L14" s="16">
        <f>Inputs!$C$46*Inputs!$C$10*1000*(1+Inputs!$D$46)^8*(1-Inputs!$C$20)^8</f>
        <v>0</v>
      </c>
      <c r="M14" s="16">
        <f>Inputs!$C$47*Inputs!$C$10*1000*(1+Inputs!$D$47)^8*(1-Inputs!$C$20)^8</f>
        <v>0</v>
      </c>
      <c r="N14" s="16">
        <f>Inputs!$C$48*Inputs!$C$10*1000*(1+Inputs!$D$48)^8*(1-Inputs!$C$20)^8</f>
        <v>0</v>
      </c>
      <c r="O14" s="16">
        <f>Inputs!$C$49*Inputs!$C$10*1000*(1+Inputs!$D$49)^8*(1-Inputs!$C$20)^8</f>
        <v>0</v>
      </c>
      <c r="P14" s="16">
        <f>Inputs!$C$50*Inputs!$C$10*1000*(1+Inputs!$D$50)^8</f>
        <v>0</v>
      </c>
      <c r="Q14" s="16">
        <f>Inputs!$C$51*Inputs!$C$10*1000*(1+Inputs!$D$51)^8</f>
        <v>0</v>
      </c>
      <c r="R14" s="16">
        <f>Inputs!$C$52*Inputs!$C$10*1000*(1+Inputs!$D$52)^8</f>
        <v>0</v>
      </c>
      <c r="S14" s="17">
        <f>SUM(K14:R14)</f>
        <v>0</v>
      </c>
      <c r="T14" s="17">
        <f>S14-J14</f>
        <v>0</v>
      </c>
      <c r="U14" s="18">
        <f>1/(1+Inputs!$C$14)^B14</f>
        <v>0</v>
      </c>
      <c r="V14" s="16">
        <f>J14*U14</f>
        <v>0</v>
      </c>
      <c r="W14" s="16">
        <f>S14*U14</f>
        <v>0</v>
      </c>
      <c r="X14" s="16">
        <f>X13+T14</f>
        <v>0</v>
      </c>
    </row>
    <row r="15" spans="2:24">
      <c r="B15">
        <v>10</v>
      </c>
      <c r="C15" s="16">
        <v>0</v>
      </c>
      <c r="D15" s="16">
        <f>Calculations!C12</f>
        <v>0</v>
      </c>
      <c r="E15" s="16">
        <v>0</v>
      </c>
      <c r="F15" s="16">
        <f>Calculations!C9*Inputs!$C$40</f>
        <v>0</v>
      </c>
      <c r="G15" s="16">
        <f>Calculations!$C$9*(1-10/Inputs!$C$13)*Inputs!$C$41</f>
        <v>0</v>
      </c>
      <c r="H15" s="16">
        <v>0</v>
      </c>
      <c r="I15" s="16">
        <v>0</v>
      </c>
      <c r="J15" s="17">
        <f>SUM(C15:I15)</f>
        <v>0</v>
      </c>
      <c r="K15" s="16">
        <f>Inputs!$C$45*Inputs!$C$10*1000*(1+Inputs!$D$45)^9*(1-Inputs!$C$20)^9</f>
        <v>0</v>
      </c>
      <c r="L15" s="16">
        <f>Inputs!$C$46*Inputs!$C$10*1000*(1+Inputs!$D$46)^9*(1-Inputs!$C$20)^9</f>
        <v>0</v>
      </c>
      <c r="M15" s="16">
        <f>Inputs!$C$47*Inputs!$C$10*1000*(1+Inputs!$D$47)^9*(1-Inputs!$C$20)^9</f>
        <v>0</v>
      </c>
      <c r="N15" s="16">
        <f>Inputs!$C$48*Inputs!$C$10*1000*(1+Inputs!$D$48)^9*(1-Inputs!$C$20)^9</f>
        <v>0</v>
      </c>
      <c r="O15" s="16">
        <f>Inputs!$C$49*Inputs!$C$10*1000*(1+Inputs!$D$49)^9*(1-Inputs!$C$20)^9</f>
        <v>0</v>
      </c>
      <c r="P15" s="16">
        <f>Inputs!$C$50*Inputs!$C$10*1000*(1+Inputs!$D$50)^9</f>
        <v>0</v>
      </c>
      <c r="Q15" s="16">
        <f>Inputs!$C$51*Inputs!$C$10*1000*(1+Inputs!$D$51)^9</f>
        <v>0</v>
      </c>
      <c r="R15" s="16">
        <f>Inputs!$C$52*Inputs!$C$10*1000*(1+Inputs!$D$52)^9</f>
        <v>0</v>
      </c>
      <c r="S15" s="17">
        <f>SUM(K15:R15)</f>
        <v>0</v>
      </c>
      <c r="T15" s="17">
        <f>S15-J15</f>
        <v>0</v>
      </c>
      <c r="U15" s="18">
        <f>1/(1+Inputs!$C$14)^B15</f>
        <v>0</v>
      </c>
      <c r="V15" s="16">
        <f>J15*U15</f>
        <v>0</v>
      </c>
      <c r="W15" s="16">
        <f>S15*U15</f>
        <v>0</v>
      </c>
      <c r="X15" s="16">
        <f>X14+T15</f>
        <v>0</v>
      </c>
    </row>
    <row r="16" spans="2:24">
      <c r="B16">
        <v>11</v>
      </c>
      <c r="C16" s="16">
        <v>0</v>
      </c>
      <c r="D16" s="16">
        <f>Calculations!C12</f>
        <v>0</v>
      </c>
      <c r="E16" s="16">
        <v>0</v>
      </c>
      <c r="F16" s="16">
        <f>Calculations!C9*Inputs!$C$40</f>
        <v>0</v>
      </c>
      <c r="G16" s="16">
        <f>Calculations!$C$9*(1-11/Inputs!$C$13)*Inputs!$C$41</f>
        <v>0</v>
      </c>
      <c r="H16" s="16">
        <v>0</v>
      </c>
      <c r="I16" s="16">
        <v>0</v>
      </c>
      <c r="J16" s="17">
        <f>SUM(C16:I16)</f>
        <v>0</v>
      </c>
      <c r="K16" s="16">
        <f>Inputs!$C$45*Inputs!$C$10*1000*(1+Inputs!$D$45)^10*(1-Inputs!$C$20)^10</f>
        <v>0</v>
      </c>
      <c r="L16" s="16">
        <f>Inputs!$C$46*Inputs!$C$10*1000*(1+Inputs!$D$46)^10*(1-Inputs!$C$20)^10</f>
        <v>0</v>
      </c>
      <c r="M16" s="16">
        <f>Inputs!$C$47*Inputs!$C$10*1000*(1+Inputs!$D$47)^10*(1-Inputs!$C$20)^10</f>
        <v>0</v>
      </c>
      <c r="N16" s="16">
        <f>Inputs!$C$48*Inputs!$C$10*1000*(1+Inputs!$D$48)^10*(1-Inputs!$C$20)^10</f>
        <v>0</v>
      </c>
      <c r="O16" s="16">
        <f>Inputs!$C$49*Inputs!$C$10*1000*(1+Inputs!$D$49)^10*(1-Inputs!$C$20)^10</f>
        <v>0</v>
      </c>
      <c r="P16" s="16">
        <f>Inputs!$C$50*Inputs!$C$10*1000*(1+Inputs!$D$50)^10</f>
        <v>0</v>
      </c>
      <c r="Q16" s="16">
        <f>Inputs!$C$51*Inputs!$C$10*1000*(1+Inputs!$D$51)^10</f>
        <v>0</v>
      </c>
      <c r="R16" s="16">
        <f>Inputs!$C$52*Inputs!$C$10*1000*(1+Inputs!$D$52)^10</f>
        <v>0</v>
      </c>
      <c r="S16" s="17">
        <f>SUM(K16:R16)</f>
        <v>0</v>
      </c>
      <c r="T16" s="17">
        <f>S16-J16</f>
        <v>0</v>
      </c>
      <c r="U16" s="18">
        <f>1/(1+Inputs!$C$14)^B16</f>
        <v>0</v>
      </c>
      <c r="V16" s="16">
        <f>J16*U16</f>
        <v>0</v>
      </c>
      <c r="W16" s="16">
        <f>S16*U16</f>
        <v>0</v>
      </c>
      <c r="X16" s="16">
        <f>X15+T16</f>
        <v>0</v>
      </c>
    </row>
    <row r="17" spans="2:24">
      <c r="B17">
        <v>12</v>
      </c>
      <c r="C17" s="16">
        <v>0</v>
      </c>
      <c r="D17" s="16">
        <f>Calculations!C12</f>
        <v>0</v>
      </c>
      <c r="E17" s="16">
        <v>0</v>
      </c>
      <c r="F17" s="16">
        <f>Calculations!C9*Inputs!$C$40</f>
        <v>0</v>
      </c>
      <c r="G17" s="16">
        <f>Calculations!$C$9*(1-12/Inputs!$C$13)*Inputs!$C$41</f>
        <v>0</v>
      </c>
      <c r="H17" s="16">
        <f>Inputs!$C$29*Calculations!C6*(1-Inputs!$C$53)^12</f>
        <v>0</v>
      </c>
      <c r="I17" s="16">
        <v>0</v>
      </c>
      <c r="J17" s="17">
        <f>SUM(C17:I17)</f>
        <v>0</v>
      </c>
      <c r="K17" s="16">
        <f>Inputs!$C$45*Inputs!$C$10*1000*(1+Inputs!$D$45)^11*(1-Inputs!$C$20)^11</f>
        <v>0</v>
      </c>
      <c r="L17" s="16">
        <f>Inputs!$C$46*Inputs!$C$10*1000*(1+Inputs!$D$46)^11*(1-Inputs!$C$20)^11</f>
        <v>0</v>
      </c>
      <c r="M17" s="16">
        <f>Inputs!$C$47*Inputs!$C$10*1000*(1+Inputs!$D$47)^11*(1-Inputs!$C$20)^11</f>
        <v>0</v>
      </c>
      <c r="N17" s="16">
        <f>Inputs!$C$48*Inputs!$C$10*1000*(1+Inputs!$D$48)^11*(1-Inputs!$C$20)^11</f>
        <v>0</v>
      </c>
      <c r="O17" s="16">
        <f>Inputs!$C$49*Inputs!$C$10*1000*(1+Inputs!$D$49)^11*(1-Inputs!$C$20)^11</f>
        <v>0</v>
      </c>
      <c r="P17" s="16">
        <f>Inputs!$C$50*Inputs!$C$10*1000*(1+Inputs!$D$50)^11</f>
        <v>0</v>
      </c>
      <c r="Q17" s="16">
        <f>Inputs!$C$51*Inputs!$C$10*1000*(1+Inputs!$D$51)^11</f>
        <v>0</v>
      </c>
      <c r="R17" s="16">
        <f>Inputs!$C$52*Inputs!$C$10*1000*(1+Inputs!$D$52)^11</f>
        <v>0</v>
      </c>
      <c r="S17" s="17">
        <f>SUM(K17:R17)</f>
        <v>0</v>
      </c>
      <c r="T17" s="17">
        <f>S17-J17</f>
        <v>0</v>
      </c>
      <c r="U17" s="18">
        <f>1/(1+Inputs!$C$14)^B17</f>
        <v>0</v>
      </c>
      <c r="V17" s="16">
        <f>J17*U17</f>
        <v>0</v>
      </c>
      <c r="W17" s="16">
        <f>S17*U17</f>
        <v>0</v>
      </c>
      <c r="X17" s="16">
        <f>X16+T17</f>
        <v>0</v>
      </c>
    </row>
    <row r="18" spans="2:24">
      <c r="B18">
        <v>13</v>
      </c>
      <c r="C18" s="16">
        <v>0</v>
      </c>
      <c r="D18" s="16">
        <f>Calculations!C12</f>
        <v>0</v>
      </c>
      <c r="E18" s="16">
        <v>0</v>
      </c>
      <c r="F18" s="16">
        <f>Calculations!C9*Inputs!$C$40</f>
        <v>0</v>
      </c>
      <c r="G18" s="16">
        <f>Calculations!$C$9*(1-13/Inputs!$C$13)*Inputs!$C$41</f>
        <v>0</v>
      </c>
      <c r="H18" s="16">
        <v>0</v>
      </c>
      <c r="I18" s="16">
        <v>0</v>
      </c>
      <c r="J18" s="17">
        <f>SUM(C18:I18)</f>
        <v>0</v>
      </c>
      <c r="K18" s="16">
        <f>Inputs!$C$45*Inputs!$C$10*1000*(1+Inputs!$D$45)^12*(1-Inputs!$C$20)^12</f>
        <v>0</v>
      </c>
      <c r="L18" s="16">
        <f>Inputs!$C$46*Inputs!$C$10*1000*(1+Inputs!$D$46)^12*(1-Inputs!$C$20)^12</f>
        <v>0</v>
      </c>
      <c r="M18" s="16">
        <f>Inputs!$C$47*Inputs!$C$10*1000*(1+Inputs!$D$47)^12*(1-Inputs!$C$20)^12</f>
        <v>0</v>
      </c>
      <c r="N18" s="16">
        <f>Inputs!$C$48*Inputs!$C$10*1000*(1+Inputs!$D$48)^12*(1-Inputs!$C$20)^12</f>
        <v>0</v>
      </c>
      <c r="O18" s="16">
        <f>Inputs!$C$49*Inputs!$C$10*1000*(1+Inputs!$D$49)^12*(1-Inputs!$C$20)^12</f>
        <v>0</v>
      </c>
      <c r="P18" s="16">
        <f>Inputs!$C$50*Inputs!$C$10*1000*(1+Inputs!$D$50)^12</f>
        <v>0</v>
      </c>
      <c r="Q18" s="16">
        <f>Inputs!$C$51*Inputs!$C$10*1000*(1+Inputs!$D$51)^12</f>
        <v>0</v>
      </c>
      <c r="R18" s="16">
        <f>Inputs!$C$52*Inputs!$C$10*1000*(1+Inputs!$D$52)^12</f>
        <v>0</v>
      </c>
      <c r="S18" s="17">
        <f>SUM(K18:R18)</f>
        <v>0</v>
      </c>
      <c r="T18" s="17">
        <f>S18-J18</f>
        <v>0</v>
      </c>
      <c r="U18" s="18">
        <f>1/(1+Inputs!$C$14)^B18</f>
        <v>0</v>
      </c>
      <c r="V18" s="16">
        <f>J18*U18</f>
        <v>0</v>
      </c>
      <c r="W18" s="16">
        <f>S18*U18</f>
        <v>0</v>
      </c>
      <c r="X18" s="16">
        <f>X17+T18</f>
        <v>0</v>
      </c>
    </row>
    <row r="19" spans="2:24">
      <c r="B19">
        <v>14</v>
      </c>
      <c r="C19" s="16">
        <v>0</v>
      </c>
      <c r="D19" s="16">
        <f>Calculations!C12</f>
        <v>0</v>
      </c>
      <c r="E19" s="16">
        <v>0</v>
      </c>
      <c r="F19" s="16">
        <f>Calculations!C9*Inputs!$C$40</f>
        <v>0</v>
      </c>
      <c r="G19" s="16">
        <f>Calculations!$C$9*(1-14/Inputs!$C$13)*Inputs!$C$41</f>
        <v>0</v>
      </c>
      <c r="H19" s="16">
        <v>0</v>
      </c>
      <c r="I19" s="16">
        <v>0</v>
      </c>
      <c r="J19" s="17">
        <f>SUM(C19:I19)</f>
        <v>0</v>
      </c>
      <c r="K19" s="16">
        <f>Inputs!$C$45*Inputs!$C$10*1000*(1+Inputs!$D$45)^13*(1-Inputs!$C$20)^13</f>
        <v>0</v>
      </c>
      <c r="L19" s="16">
        <f>Inputs!$C$46*Inputs!$C$10*1000*(1+Inputs!$D$46)^13*(1-Inputs!$C$20)^13</f>
        <v>0</v>
      </c>
      <c r="M19" s="16">
        <f>Inputs!$C$47*Inputs!$C$10*1000*(1+Inputs!$D$47)^13*(1-Inputs!$C$20)^13</f>
        <v>0</v>
      </c>
      <c r="N19" s="16">
        <f>Inputs!$C$48*Inputs!$C$10*1000*(1+Inputs!$D$48)^13*(1-Inputs!$C$20)^13</f>
        <v>0</v>
      </c>
      <c r="O19" s="16">
        <f>Inputs!$C$49*Inputs!$C$10*1000*(1+Inputs!$D$49)^13*(1-Inputs!$C$20)^13</f>
        <v>0</v>
      </c>
      <c r="P19" s="16">
        <f>Inputs!$C$50*Inputs!$C$10*1000*(1+Inputs!$D$50)^13</f>
        <v>0</v>
      </c>
      <c r="Q19" s="16">
        <f>Inputs!$C$51*Inputs!$C$10*1000*(1+Inputs!$D$51)^13</f>
        <v>0</v>
      </c>
      <c r="R19" s="16">
        <f>Inputs!$C$52*Inputs!$C$10*1000*(1+Inputs!$D$52)^13</f>
        <v>0</v>
      </c>
      <c r="S19" s="17">
        <f>SUM(K19:R19)</f>
        <v>0</v>
      </c>
      <c r="T19" s="17">
        <f>S19-J19</f>
        <v>0</v>
      </c>
      <c r="U19" s="18">
        <f>1/(1+Inputs!$C$14)^B19</f>
        <v>0</v>
      </c>
      <c r="V19" s="16">
        <f>J19*U19</f>
        <v>0</v>
      </c>
      <c r="W19" s="16">
        <f>S19*U19</f>
        <v>0</v>
      </c>
      <c r="X19" s="16">
        <f>X18+T19</f>
        <v>0</v>
      </c>
    </row>
    <row r="20" spans="2:24">
      <c r="B20">
        <v>15</v>
      </c>
      <c r="C20" s="16">
        <v>0</v>
      </c>
      <c r="D20" s="16">
        <f>Calculations!C12</f>
        <v>0</v>
      </c>
      <c r="E20" s="16">
        <v>0</v>
      </c>
      <c r="F20" s="16">
        <f>Calculations!C9*Inputs!$C$40</f>
        <v>0</v>
      </c>
      <c r="G20" s="16">
        <f>Calculations!$C$9*(1-15/Inputs!$C$13)*Inputs!$C$41</f>
        <v>0</v>
      </c>
      <c r="H20" s="16">
        <v>0</v>
      </c>
      <c r="I20" s="16">
        <v>0</v>
      </c>
      <c r="J20" s="17">
        <f>SUM(C20:I20)</f>
        <v>0</v>
      </c>
      <c r="K20" s="16">
        <f>Inputs!$C$45*Inputs!$C$10*1000*(1+Inputs!$D$45)^14*(1-Inputs!$C$20)^14</f>
        <v>0</v>
      </c>
      <c r="L20" s="16">
        <f>Inputs!$C$46*Inputs!$C$10*1000*(1+Inputs!$D$46)^14*(1-Inputs!$C$20)^14</f>
        <v>0</v>
      </c>
      <c r="M20" s="16">
        <f>Inputs!$C$47*Inputs!$C$10*1000*(1+Inputs!$D$47)^14*(1-Inputs!$C$20)^14</f>
        <v>0</v>
      </c>
      <c r="N20" s="16">
        <f>Inputs!$C$48*Inputs!$C$10*1000*(1+Inputs!$D$48)^14*(1-Inputs!$C$20)^14</f>
        <v>0</v>
      </c>
      <c r="O20" s="16">
        <f>Inputs!$C$49*Inputs!$C$10*1000*(1+Inputs!$D$49)^14*(1-Inputs!$C$20)^14</f>
        <v>0</v>
      </c>
      <c r="P20" s="16">
        <f>Inputs!$C$50*Inputs!$C$10*1000*(1+Inputs!$D$50)^14</f>
        <v>0</v>
      </c>
      <c r="Q20" s="16">
        <f>Inputs!$C$51*Inputs!$C$10*1000*(1+Inputs!$D$51)^14</f>
        <v>0</v>
      </c>
      <c r="R20" s="16">
        <f>Inputs!$C$52*Inputs!$C$10*1000*(1+Inputs!$D$52)^14</f>
        <v>0</v>
      </c>
      <c r="S20" s="17">
        <f>SUM(K20:R20)</f>
        <v>0</v>
      </c>
      <c r="T20" s="17">
        <f>S20-J20</f>
        <v>0</v>
      </c>
      <c r="U20" s="18">
        <f>1/(1+Inputs!$C$14)^B20</f>
        <v>0</v>
      </c>
      <c r="V20" s="16">
        <f>J20*U20</f>
        <v>0</v>
      </c>
      <c r="W20" s="16">
        <f>S20*U20</f>
        <v>0</v>
      </c>
      <c r="X20" s="16">
        <f>X19+T20</f>
        <v>0</v>
      </c>
    </row>
    <row r="21" spans="2:24">
      <c r="B21">
        <v>16</v>
      </c>
      <c r="C21" s="16">
        <v>0</v>
      </c>
      <c r="D21" s="16">
        <f>Calculations!C12</f>
        <v>0</v>
      </c>
      <c r="E21" s="16">
        <v>0</v>
      </c>
      <c r="F21" s="16">
        <f>Calculations!C9*Inputs!$C$40</f>
        <v>0</v>
      </c>
      <c r="G21" s="16">
        <f>Calculations!$C$9*(1-16/Inputs!$C$13)*Inputs!$C$41</f>
        <v>0</v>
      </c>
      <c r="H21" s="16">
        <v>0</v>
      </c>
      <c r="I21" s="16">
        <v>0</v>
      </c>
      <c r="J21" s="17">
        <f>SUM(C21:I21)</f>
        <v>0</v>
      </c>
      <c r="K21" s="16">
        <f>Inputs!$C$45*Inputs!$C$10*1000*(1+Inputs!$D$45)^15*(1-Inputs!$C$20)^15</f>
        <v>0</v>
      </c>
      <c r="L21" s="16">
        <f>Inputs!$C$46*Inputs!$C$10*1000*(1+Inputs!$D$46)^15*(1-Inputs!$C$20)^15</f>
        <v>0</v>
      </c>
      <c r="M21" s="16">
        <f>Inputs!$C$47*Inputs!$C$10*1000*(1+Inputs!$D$47)^15*(1-Inputs!$C$20)^15</f>
        <v>0</v>
      </c>
      <c r="N21" s="16">
        <f>Inputs!$C$48*Inputs!$C$10*1000*(1+Inputs!$D$48)^15*(1-Inputs!$C$20)^15</f>
        <v>0</v>
      </c>
      <c r="O21" s="16">
        <f>Inputs!$C$49*Inputs!$C$10*1000*(1+Inputs!$D$49)^15*(1-Inputs!$C$20)^15</f>
        <v>0</v>
      </c>
      <c r="P21" s="16">
        <f>Inputs!$C$50*Inputs!$C$10*1000*(1+Inputs!$D$50)^15</f>
        <v>0</v>
      </c>
      <c r="Q21" s="16">
        <f>Inputs!$C$51*Inputs!$C$10*1000*(1+Inputs!$D$51)^15</f>
        <v>0</v>
      </c>
      <c r="R21" s="16">
        <f>Inputs!$C$52*Inputs!$C$10*1000*(1+Inputs!$D$52)^15</f>
        <v>0</v>
      </c>
      <c r="S21" s="17">
        <f>SUM(K21:R21)</f>
        <v>0</v>
      </c>
      <c r="T21" s="17">
        <f>S21-J21</f>
        <v>0</v>
      </c>
      <c r="U21" s="18">
        <f>1/(1+Inputs!$C$14)^B21</f>
        <v>0</v>
      </c>
      <c r="V21" s="16">
        <f>J21*U21</f>
        <v>0</v>
      </c>
      <c r="W21" s="16">
        <f>S21*U21</f>
        <v>0</v>
      </c>
      <c r="X21" s="16">
        <f>X20+T21</f>
        <v>0</v>
      </c>
    </row>
    <row r="22" spans="2:24">
      <c r="B22">
        <v>17</v>
      </c>
      <c r="C22" s="16">
        <v>0</v>
      </c>
      <c r="D22" s="16">
        <f>Calculations!C12</f>
        <v>0</v>
      </c>
      <c r="E22" s="16">
        <v>0</v>
      </c>
      <c r="F22" s="16">
        <f>Calculations!C9*Inputs!$C$40</f>
        <v>0</v>
      </c>
      <c r="G22" s="16">
        <f>Calculations!$C$9*(1-17/Inputs!$C$13)*Inputs!$C$41</f>
        <v>0</v>
      </c>
      <c r="H22" s="16">
        <v>0</v>
      </c>
      <c r="I22" s="16">
        <v>0</v>
      </c>
      <c r="J22" s="17">
        <f>SUM(C22:I22)</f>
        <v>0</v>
      </c>
      <c r="K22" s="16">
        <f>Inputs!$C$45*Inputs!$C$10*1000*(1+Inputs!$D$45)^16*(1-Inputs!$C$20)^16</f>
        <v>0</v>
      </c>
      <c r="L22" s="16">
        <f>Inputs!$C$46*Inputs!$C$10*1000*(1+Inputs!$D$46)^16*(1-Inputs!$C$20)^16</f>
        <v>0</v>
      </c>
      <c r="M22" s="16">
        <f>Inputs!$C$47*Inputs!$C$10*1000*(1+Inputs!$D$47)^16*(1-Inputs!$C$20)^16</f>
        <v>0</v>
      </c>
      <c r="N22" s="16">
        <f>Inputs!$C$48*Inputs!$C$10*1000*(1+Inputs!$D$48)^16*(1-Inputs!$C$20)^16</f>
        <v>0</v>
      </c>
      <c r="O22" s="16">
        <f>Inputs!$C$49*Inputs!$C$10*1000*(1+Inputs!$D$49)^16*(1-Inputs!$C$20)^16</f>
        <v>0</v>
      </c>
      <c r="P22" s="16">
        <f>Inputs!$C$50*Inputs!$C$10*1000*(1+Inputs!$D$50)^16</f>
        <v>0</v>
      </c>
      <c r="Q22" s="16">
        <f>Inputs!$C$51*Inputs!$C$10*1000*(1+Inputs!$D$51)^16</f>
        <v>0</v>
      </c>
      <c r="R22" s="16">
        <f>Inputs!$C$52*Inputs!$C$10*1000*(1+Inputs!$D$52)^16</f>
        <v>0</v>
      </c>
      <c r="S22" s="17">
        <f>SUM(K22:R22)</f>
        <v>0</v>
      </c>
      <c r="T22" s="17">
        <f>S22-J22</f>
        <v>0</v>
      </c>
      <c r="U22" s="18">
        <f>1/(1+Inputs!$C$14)^B22</f>
        <v>0</v>
      </c>
      <c r="V22" s="16">
        <f>J22*U22</f>
        <v>0</v>
      </c>
      <c r="W22" s="16">
        <f>S22*U22</f>
        <v>0</v>
      </c>
      <c r="X22" s="16">
        <f>X21+T22</f>
        <v>0</v>
      </c>
    </row>
    <row r="23" spans="2:24">
      <c r="B23">
        <v>18</v>
      </c>
      <c r="C23" s="16">
        <v>0</v>
      </c>
      <c r="D23" s="16">
        <f>Calculations!C12</f>
        <v>0</v>
      </c>
      <c r="E23" s="16">
        <v>0</v>
      </c>
      <c r="F23" s="16">
        <f>Calculations!C9*Inputs!$C$40</f>
        <v>0</v>
      </c>
      <c r="G23" s="16">
        <f>Calculations!$C$9*(1-18/Inputs!$C$13)*Inputs!$C$41</f>
        <v>0</v>
      </c>
      <c r="H23" s="16">
        <v>0</v>
      </c>
      <c r="I23" s="16">
        <v>0</v>
      </c>
      <c r="J23" s="17">
        <f>SUM(C23:I23)</f>
        <v>0</v>
      </c>
      <c r="K23" s="16">
        <f>Inputs!$C$45*Inputs!$C$10*1000*(1+Inputs!$D$45)^17*(1-Inputs!$C$20)^17</f>
        <v>0</v>
      </c>
      <c r="L23" s="16">
        <f>Inputs!$C$46*Inputs!$C$10*1000*(1+Inputs!$D$46)^17*(1-Inputs!$C$20)^17</f>
        <v>0</v>
      </c>
      <c r="M23" s="16">
        <f>Inputs!$C$47*Inputs!$C$10*1000*(1+Inputs!$D$47)^17*(1-Inputs!$C$20)^17</f>
        <v>0</v>
      </c>
      <c r="N23" s="16">
        <f>Inputs!$C$48*Inputs!$C$10*1000*(1+Inputs!$D$48)^17*(1-Inputs!$C$20)^17</f>
        <v>0</v>
      </c>
      <c r="O23" s="16">
        <f>Inputs!$C$49*Inputs!$C$10*1000*(1+Inputs!$D$49)^17*(1-Inputs!$C$20)^17</f>
        <v>0</v>
      </c>
      <c r="P23" s="16">
        <f>Inputs!$C$50*Inputs!$C$10*1000*(1+Inputs!$D$50)^17</f>
        <v>0</v>
      </c>
      <c r="Q23" s="16">
        <f>Inputs!$C$51*Inputs!$C$10*1000*(1+Inputs!$D$51)^17</f>
        <v>0</v>
      </c>
      <c r="R23" s="16">
        <f>Inputs!$C$52*Inputs!$C$10*1000*(1+Inputs!$D$52)^17</f>
        <v>0</v>
      </c>
      <c r="S23" s="17">
        <f>SUM(K23:R23)</f>
        <v>0</v>
      </c>
      <c r="T23" s="17">
        <f>S23-J23</f>
        <v>0</v>
      </c>
      <c r="U23" s="18">
        <f>1/(1+Inputs!$C$14)^B23</f>
        <v>0</v>
      </c>
      <c r="V23" s="16">
        <f>J23*U23</f>
        <v>0</v>
      </c>
      <c r="W23" s="16">
        <f>S23*U23</f>
        <v>0</v>
      </c>
      <c r="X23" s="16">
        <f>X22+T23</f>
        <v>0</v>
      </c>
    </row>
    <row r="24" spans="2:24">
      <c r="B24">
        <v>19</v>
      </c>
      <c r="C24" s="16">
        <v>0</v>
      </c>
      <c r="D24" s="16">
        <f>Calculations!C12</f>
        <v>0</v>
      </c>
      <c r="E24" s="16">
        <v>0</v>
      </c>
      <c r="F24" s="16">
        <f>Calculations!C9*Inputs!$C$40</f>
        <v>0</v>
      </c>
      <c r="G24" s="16">
        <f>Calculations!$C$9*(1-19/Inputs!$C$13)*Inputs!$C$41</f>
        <v>0</v>
      </c>
      <c r="H24" s="16">
        <v>0</v>
      </c>
      <c r="I24" s="16">
        <v>0</v>
      </c>
      <c r="J24" s="17">
        <f>SUM(C24:I24)</f>
        <v>0</v>
      </c>
      <c r="K24" s="16">
        <f>Inputs!$C$45*Inputs!$C$10*1000*(1+Inputs!$D$45)^18*(1-Inputs!$C$20)^18</f>
        <v>0</v>
      </c>
      <c r="L24" s="16">
        <f>Inputs!$C$46*Inputs!$C$10*1000*(1+Inputs!$D$46)^18*(1-Inputs!$C$20)^18</f>
        <v>0</v>
      </c>
      <c r="M24" s="16">
        <f>Inputs!$C$47*Inputs!$C$10*1000*(1+Inputs!$D$47)^18*(1-Inputs!$C$20)^18</f>
        <v>0</v>
      </c>
      <c r="N24" s="16">
        <f>Inputs!$C$48*Inputs!$C$10*1000*(1+Inputs!$D$48)^18*(1-Inputs!$C$20)^18</f>
        <v>0</v>
      </c>
      <c r="O24" s="16">
        <f>Inputs!$C$49*Inputs!$C$10*1000*(1+Inputs!$D$49)^18*(1-Inputs!$C$20)^18</f>
        <v>0</v>
      </c>
      <c r="P24" s="16">
        <f>Inputs!$C$50*Inputs!$C$10*1000*(1+Inputs!$D$50)^18</f>
        <v>0</v>
      </c>
      <c r="Q24" s="16">
        <f>Inputs!$C$51*Inputs!$C$10*1000*(1+Inputs!$D$51)^18</f>
        <v>0</v>
      </c>
      <c r="R24" s="16">
        <f>Inputs!$C$52*Inputs!$C$10*1000*(1+Inputs!$D$52)^18</f>
        <v>0</v>
      </c>
      <c r="S24" s="17">
        <f>SUM(K24:R24)</f>
        <v>0</v>
      </c>
      <c r="T24" s="17">
        <f>S24-J24</f>
        <v>0</v>
      </c>
      <c r="U24" s="18">
        <f>1/(1+Inputs!$C$14)^B24</f>
        <v>0</v>
      </c>
      <c r="V24" s="16">
        <f>J24*U24</f>
        <v>0</v>
      </c>
      <c r="W24" s="16">
        <f>S24*U24</f>
        <v>0</v>
      </c>
      <c r="X24" s="16">
        <f>X23+T24</f>
        <v>0</v>
      </c>
    </row>
    <row r="25" spans="2:24">
      <c r="B25">
        <v>20</v>
      </c>
      <c r="C25" s="16">
        <v>0</v>
      </c>
      <c r="D25" s="16">
        <f>Calculations!C12</f>
        <v>0</v>
      </c>
      <c r="E25" s="16">
        <v>0</v>
      </c>
      <c r="F25" s="16">
        <f>Calculations!C9*Inputs!$C$40</f>
        <v>0</v>
      </c>
      <c r="G25" s="16">
        <f>Calculations!$C$9*(1-20/Inputs!$C$13)*Inputs!$C$41</f>
        <v>0</v>
      </c>
      <c r="H25" s="16">
        <v>0</v>
      </c>
      <c r="I25" s="16">
        <f>Inputs!$C$30*Calculations!C5</f>
        <v>0</v>
      </c>
      <c r="J25" s="17">
        <f>SUM(C25:I25)</f>
        <v>0</v>
      </c>
      <c r="K25" s="16">
        <f>Inputs!$C$45*Inputs!$C$10*1000*(1+Inputs!$D$45)^19*(1-Inputs!$C$20)^19</f>
        <v>0</v>
      </c>
      <c r="L25" s="16">
        <f>Inputs!$C$46*Inputs!$C$10*1000*(1+Inputs!$D$46)^19*(1-Inputs!$C$20)^19</f>
        <v>0</v>
      </c>
      <c r="M25" s="16">
        <f>Inputs!$C$47*Inputs!$C$10*1000*(1+Inputs!$D$47)^19*(1-Inputs!$C$20)^19</f>
        <v>0</v>
      </c>
      <c r="N25" s="16">
        <f>Inputs!$C$48*Inputs!$C$10*1000*(1+Inputs!$D$48)^19*(1-Inputs!$C$20)^19</f>
        <v>0</v>
      </c>
      <c r="O25" s="16">
        <f>Inputs!$C$49*Inputs!$C$10*1000*(1+Inputs!$D$49)^19*(1-Inputs!$C$20)^19</f>
        <v>0</v>
      </c>
      <c r="P25" s="16">
        <f>Inputs!$C$50*Inputs!$C$10*1000*(1+Inputs!$D$50)^19</f>
        <v>0</v>
      </c>
      <c r="Q25" s="16">
        <f>Inputs!$C$51*Inputs!$C$10*1000*(1+Inputs!$D$51)^19</f>
        <v>0</v>
      </c>
      <c r="R25" s="16">
        <f>Inputs!$C$52*Inputs!$C$10*1000*(1+Inputs!$D$52)^19</f>
        <v>0</v>
      </c>
      <c r="S25" s="17">
        <f>SUM(K25:R25)</f>
        <v>0</v>
      </c>
      <c r="T25" s="17">
        <f>S25-J25</f>
        <v>0</v>
      </c>
      <c r="U25" s="18">
        <f>1/(1+Inputs!$C$14)^B25</f>
        <v>0</v>
      </c>
      <c r="V25" s="16">
        <f>J25*U25</f>
        <v>0</v>
      </c>
      <c r="W25" s="16">
        <f>S25*U25</f>
        <v>0</v>
      </c>
      <c r="X25" s="16">
        <f>X24+T25</f>
        <v>0</v>
      </c>
    </row>
    <row r="27" spans="2:24">
      <c r="B27" s="3" t="s">
        <v>138</v>
      </c>
      <c r="J27" s="17">
        <f>SUM(J5:J25)</f>
        <v>0</v>
      </c>
      <c r="S27" s="17">
        <f>SUM(S5:S25)</f>
        <v>0</v>
      </c>
      <c r="V27" s="17">
        <f>SUM(V5:V25)</f>
        <v>0</v>
      </c>
      <c r="W27" s="17">
        <f>SUM(W5:W25)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B2:D22"/>
  <sheetViews>
    <sheetView workbookViewId="0"/>
  </sheetViews>
  <sheetFormatPr defaultRowHeight="15"/>
  <cols>
    <col min="1" max="1" width="5.7109375" customWidth="1"/>
    <col min="2" max="2" width="25.7109375" customWidth="1"/>
    <col min="3" max="3" width="18.7109375" customWidth="1"/>
    <col min="4" max="4" width="50.7109375" customWidth="1"/>
  </cols>
  <sheetData>
    <row r="2" spans="2:4">
      <c r="B2" s="1" t="s">
        <v>139</v>
      </c>
    </row>
    <row r="4" spans="2:4">
      <c r="B4" s="2" t="s">
        <v>140</v>
      </c>
      <c r="C4" s="2"/>
      <c r="D4" s="2"/>
    </row>
    <row r="5" spans="2:4">
      <c r="B5" s="3" t="s">
        <v>141</v>
      </c>
      <c r="C5" s="17">
        <f>Inputs!C10*1000</f>
        <v>0</v>
      </c>
      <c r="D5" s="5" t="s">
        <v>142</v>
      </c>
    </row>
    <row r="6" spans="2:4">
      <c r="B6" s="3" t="s">
        <v>143</v>
      </c>
      <c r="C6" s="17">
        <f>Inputs!C12*1000</f>
        <v>0</v>
      </c>
      <c r="D6" s="5" t="s">
        <v>144</v>
      </c>
    </row>
    <row r="7" spans="2:4">
      <c r="B7" s="3" t="s">
        <v>145</v>
      </c>
      <c r="C7" s="17">
        <f>Inputs!C28*C6</f>
        <v>0</v>
      </c>
      <c r="D7" s="5" t="s">
        <v>146</v>
      </c>
    </row>
    <row r="8" spans="2:4">
      <c r="B8" s="3" t="s">
        <v>147</v>
      </c>
      <c r="C8" s="17">
        <f>(Inputs!C43+Inputs!C44+Inputs!C45)*C5</f>
        <v>0</v>
      </c>
      <c r="D8" s="5" t="s">
        <v>148</v>
      </c>
    </row>
    <row r="9" spans="2:4">
      <c r="B9" s="3" t="s">
        <v>149</v>
      </c>
      <c r="C9" s="17">
        <f>C7+C8</f>
        <v>0</v>
      </c>
      <c r="D9" s="5" t="s">
        <v>150</v>
      </c>
    </row>
    <row r="10" spans="2:4">
      <c r="B10" s="3" t="s">
        <v>151</v>
      </c>
      <c r="C10" s="17">
        <f>C7*(Inputs!C37+Inputs!C38)</f>
        <v>0</v>
      </c>
      <c r="D10" s="5" t="s">
        <v>152</v>
      </c>
    </row>
    <row r="11" spans="2:4">
      <c r="B11" s="3" t="s">
        <v>153</v>
      </c>
      <c r="C11" s="17">
        <f>C9-C10</f>
        <v>0</v>
      </c>
      <c r="D11" s="5" t="s">
        <v>154</v>
      </c>
    </row>
    <row r="12" spans="2:4">
      <c r="B12" s="3" t="s">
        <v>155</v>
      </c>
      <c r="C12" s="17">
        <f>Inputs!C29*C5</f>
        <v>0</v>
      </c>
      <c r="D12" s="5" t="s">
        <v>156</v>
      </c>
    </row>
    <row r="13" spans="2:4">
      <c r="B13" s="3" t="s">
        <v>157</v>
      </c>
      <c r="C13" s="17">
        <f>Inputs!C12*Inputs!C23*365*Inputs!C19</f>
        <v>0</v>
      </c>
      <c r="D13" s="5" t="s">
        <v>158</v>
      </c>
    </row>
    <row r="14" spans="2:4">
      <c r="B14" s="3" t="s">
        <v>159</v>
      </c>
      <c r="C14" s="17">
        <f>C13/Inputs!C19*Inputs!C33</f>
        <v>0</v>
      </c>
      <c r="D14" s="5" t="s">
        <v>160</v>
      </c>
    </row>
    <row r="15" spans="2:4">
      <c r="B15" s="3" t="s">
        <v>161</v>
      </c>
      <c r="C15" s="17">
        <f>C9*Inputs!C34</f>
        <v>0</v>
      </c>
      <c r="D15" s="5" t="s">
        <v>162</v>
      </c>
    </row>
    <row r="17" spans="2:4">
      <c r="B17" s="2" t="s">
        <v>163</v>
      </c>
      <c r="C17" s="2"/>
      <c r="D17" s="2"/>
    </row>
    <row r="18" spans="2:4">
      <c r="B18" s="3" t="s">
        <v>164</v>
      </c>
      <c r="C18" t="s">
        <v>165</v>
      </c>
      <c r="D18" s="5" t="s">
        <v>166</v>
      </c>
    </row>
    <row r="19" spans="2:4">
      <c r="B19" s="3" t="s">
        <v>167</v>
      </c>
      <c r="C19" t="s">
        <v>168</v>
      </c>
      <c r="D19" s="5" t="s">
        <v>169</v>
      </c>
    </row>
    <row r="20" spans="2:4">
      <c r="B20" s="3" t="s">
        <v>170</v>
      </c>
      <c r="C20" t="s">
        <v>171</v>
      </c>
      <c r="D20" s="5" t="s">
        <v>166</v>
      </c>
    </row>
    <row r="21" spans="2:4">
      <c r="B21" s="3" t="s">
        <v>172</v>
      </c>
      <c r="C21" t="s">
        <v>173</v>
      </c>
      <c r="D21" s="5" t="s">
        <v>174</v>
      </c>
    </row>
    <row r="22" spans="2:4">
      <c r="B22" s="3" t="s">
        <v>175</v>
      </c>
      <c r="C22" t="s">
        <v>176</v>
      </c>
      <c r="D22" s="5" t="s">
        <v>177</v>
      </c>
    </row>
  </sheetData>
  <mergeCells count="2">
    <mergeCell ref="B4:D4"/>
    <mergeCell ref="B17:D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B2:L41"/>
  <sheetViews>
    <sheetView workbookViewId="0"/>
  </sheetViews>
  <sheetFormatPr defaultRowHeight="15"/>
  <cols>
    <col min="1" max="1" width="3.7109375" customWidth="1"/>
    <col min="2" max="2" width="20.7109375" customWidth="1"/>
    <col min="3" max="12" width="14.7109375" customWidth="1"/>
  </cols>
  <sheetData>
    <row r="2" spans="2:12">
      <c r="B2" s="1" t="s">
        <v>202</v>
      </c>
      <c r="C2" s="1"/>
      <c r="D2" s="1"/>
      <c r="E2" s="1"/>
      <c r="F2" s="1"/>
      <c r="G2" s="1"/>
      <c r="H2" s="1"/>
      <c r="I2" s="1"/>
      <c r="J2" s="1"/>
      <c r="K2" s="1"/>
      <c r="L2" s="1"/>
    </row>
    <row r="4" spans="2:12">
      <c r="B4" s="5" t="s">
        <v>203</v>
      </c>
      <c r="C4" s="5"/>
      <c r="D4" s="5"/>
      <c r="E4" s="5"/>
      <c r="F4" s="5"/>
      <c r="G4" s="5"/>
      <c r="H4" s="5"/>
      <c r="I4" s="5"/>
      <c r="J4" s="5"/>
      <c r="K4" s="5"/>
      <c r="L4" s="5"/>
    </row>
    <row r="6" spans="2:12">
      <c r="B6" s="2" t="s">
        <v>204</v>
      </c>
      <c r="C6" s="2"/>
      <c r="D6" s="2"/>
      <c r="E6" s="2"/>
      <c r="F6" s="2"/>
      <c r="G6" s="2"/>
      <c r="H6" s="2"/>
      <c r="I6" s="2"/>
      <c r="J6" s="2"/>
      <c r="K6" s="2"/>
      <c r="L6" s="2"/>
    </row>
    <row r="7" spans="2:12">
      <c r="B7" s="9" t="s">
        <v>205</v>
      </c>
      <c r="C7" s="9" t="s">
        <v>206</v>
      </c>
      <c r="D7" s="9" t="s">
        <v>207</v>
      </c>
      <c r="E7" s="9" t="s">
        <v>208</v>
      </c>
      <c r="F7" s="9" t="s">
        <v>209</v>
      </c>
      <c r="G7" s="9" t="s">
        <v>210</v>
      </c>
      <c r="H7" s="9" t="s">
        <v>211</v>
      </c>
      <c r="I7" s="9" t="s">
        <v>212</v>
      </c>
    </row>
    <row r="8" spans="2:12">
      <c r="B8" s="3" t="s">
        <v>213</v>
      </c>
      <c r="C8" s="16">
        <f>(Cash_Flows!W27*0.7)-(Cash_Flows!V27*(1+(100-Inputs!$C$28)/Inputs!$C$28))</f>
        <v>0</v>
      </c>
      <c r="D8" s="16">
        <f>(Cash_Flows!W27*0.8)-(Cash_Flows!V27*(1+(100-Inputs!$C$28)/Inputs!$C$28))</f>
        <v>0</v>
      </c>
      <c r="E8" s="16">
        <f>(Cash_Flows!W27*0.9)-(Cash_Flows!V27*(1+(100-Inputs!$C$28)/Inputs!$C$28))</f>
        <v>0</v>
      </c>
      <c r="F8" s="16">
        <f>(Cash_Flows!W27*1.0)-(Cash_Flows!V27*(1+(100-Inputs!$C$28)/Inputs!$C$28))</f>
        <v>0</v>
      </c>
      <c r="G8" s="16">
        <f>(Cash_Flows!W27*1.1)-(Cash_Flows!V27*(1+(100-Inputs!$C$28)/Inputs!$C$28))</f>
        <v>0</v>
      </c>
      <c r="H8" s="16">
        <f>(Cash_Flows!W27*1.2)-(Cash_Flows!V27*(1+(100-Inputs!$C$28)/Inputs!$C$28))</f>
        <v>0</v>
      </c>
      <c r="I8" s="16">
        <f>(Cash_Flows!W27*1.3)-(Cash_Flows!V27*(1+(100-Inputs!$C$28)/Inputs!$C$28))</f>
        <v>0</v>
      </c>
    </row>
    <row r="9" spans="2:12">
      <c r="B9" s="3" t="s">
        <v>214</v>
      </c>
      <c r="C9" s="16">
        <f>(Cash_Flows!W27*0.7)-(Cash_Flows!V27*(1+(120-Inputs!$C$28)/Inputs!$C$28))</f>
        <v>0</v>
      </c>
      <c r="D9" s="16">
        <f>(Cash_Flows!W27*0.8)-(Cash_Flows!V27*(1+(120-Inputs!$C$28)/Inputs!$C$28))</f>
        <v>0</v>
      </c>
      <c r="E9" s="16">
        <f>(Cash_Flows!W27*0.9)-(Cash_Flows!V27*(1+(120-Inputs!$C$28)/Inputs!$C$28))</f>
        <v>0</v>
      </c>
      <c r="F9" s="16">
        <f>(Cash_Flows!W27*1.0)-(Cash_Flows!V27*(1+(120-Inputs!$C$28)/Inputs!$C$28))</f>
        <v>0</v>
      </c>
      <c r="G9" s="16">
        <f>(Cash_Flows!W27*1.1)-(Cash_Flows!V27*(1+(120-Inputs!$C$28)/Inputs!$C$28))</f>
        <v>0</v>
      </c>
      <c r="H9" s="16">
        <f>(Cash_Flows!W27*1.2)-(Cash_Flows!V27*(1+(120-Inputs!$C$28)/Inputs!$C$28))</f>
        <v>0</v>
      </c>
      <c r="I9" s="16">
        <f>(Cash_Flows!W27*1.3)-(Cash_Flows!V27*(1+(120-Inputs!$C$28)/Inputs!$C$28))</f>
        <v>0</v>
      </c>
    </row>
    <row r="10" spans="2:12">
      <c r="B10" s="3" t="s">
        <v>215</v>
      </c>
      <c r="C10" s="16">
        <f>(Cash_Flows!W27*0.7)-(Cash_Flows!V27*(1+(140-Inputs!$C$28)/Inputs!$C$28))</f>
        <v>0</v>
      </c>
      <c r="D10" s="16">
        <f>(Cash_Flows!W27*0.8)-(Cash_Flows!V27*(1+(140-Inputs!$C$28)/Inputs!$C$28))</f>
        <v>0</v>
      </c>
      <c r="E10" s="16">
        <f>(Cash_Flows!W27*0.9)-(Cash_Flows!V27*(1+(140-Inputs!$C$28)/Inputs!$C$28))</f>
        <v>0</v>
      </c>
      <c r="F10" s="16">
        <f>(Cash_Flows!W27*1.0)-(Cash_Flows!V27*(1+(140-Inputs!$C$28)/Inputs!$C$28))</f>
        <v>0</v>
      </c>
      <c r="G10" s="16">
        <f>(Cash_Flows!W27*1.1)-(Cash_Flows!V27*(1+(140-Inputs!$C$28)/Inputs!$C$28))</f>
        <v>0</v>
      </c>
      <c r="H10" s="16">
        <f>(Cash_Flows!W27*1.2)-(Cash_Flows!V27*(1+(140-Inputs!$C$28)/Inputs!$C$28))</f>
        <v>0</v>
      </c>
      <c r="I10" s="16">
        <f>(Cash_Flows!W27*1.3)-(Cash_Flows!V27*(1+(140-Inputs!$C$28)/Inputs!$C$28))</f>
        <v>0</v>
      </c>
    </row>
    <row r="11" spans="2:12">
      <c r="B11" s="3" t="s">
        <v>216</v>
      </c>
      <c r="C11" s="16">
        <f>(Cash_Flows!W27*0.7)-(Cash_Flows!V27*(1+(160-Inputs!$C$28)/Inputs!$C$28))</f>
        <v>0</v>
      </c>
      <c r="D11" s="16">
        <f>(Cash_Flows!W27*0.8)-(Cash_Flows!V27*(1+(160-Inputs!$C$28)/Inputs!$C$28))</f>
        <v>0</v>
      </c>
      <c r="E11" s="16">
        <f>(Cash_Flows!W27*0.9)-(Cash_Flows!V27*(1+(160-Inputs!$C$28)/Inputs!$C$28))</f>
        <v>0</v>
      </c>
      <c r="F11" s="16">
        <f>(Cash_Flows!W27*1.0)-(Cash_Flows!V27*(1+(160-Inputs!$C$28)/Inputs!$C$28))</f>
        <v>0</v>
      </c>
      <c r="G11" s="16">
        <f>(Cash_Flows!W27*1.1)-(Cash_Flows!V27*(1+(160-Inputs!$C$28)/Inputs!$C$28))</f>
        <v>0</v>
      </c>
      <c r="H11" s="16">
        <f>(Cash_Flows!W27*1.2)-(Cash_Flows!V27*(1+(160-Inputs!$C$28)/Inputs!$C$28))</f>
        <v>0</v>
      </c>
      <c r="I11" s="16">
        <f>(Cash_Flows!W27*1.3)-(Cash_Flows!V27*(1+(160-Inputs!$C$28)/Inputs!$C$28))</f>
        <v>0</v>
      </c>
    </row>
    <row r="12" spans="2:12">
      <c r="B12" s="3" t="s">
        <v>217</v>
      </c>
      <c r="C12" s="16">
        <f>(Cash_Flows!W27*0.7)-(Cash_Flows!V27*(1+(180-Inputs!$C$28)/Inputs!$C$28))</f>
        <v>0</v>
      </c>
      <c r="D12" s="16">
        <f>(Cash_Flows!W27*0.8)-(Cash_Flows!V27*(1+(180-Inputs!$C$28)/Inputs!$C$28))</f>
        <v>0</v>
      </c>
      <c r="E12" s="16">
        <f>(Cash_Flows!W27*0.9)-(Cash_Flows!V27*(1+(180-Inputs!$C$28)/Inputs!$C$28))</f>
        <v>0</v>
      </c>
      <c r="F12" s="16">
        <f>(Cash_Flows!W27*1.0)-(Cash_Flows!V27*(1+(180-Inputs!$C$28)/Inputs!$C$28))</f>
        <v>0</v>
      </c>
      <c r="G12" s="16">
        <f>(Cash_Flows!W27*1.1)-(Cash_Flows!V27*(1+(180-Inputs!$C$28)/Inputs!$C$28))</f>
        <v>0</v>
      </c>
      <c r="H12" s="16">
        <f>(Cash_Flows!W27*1.2)-(Cash_Flows!V27*(1+(180-Inputs!$C$28)/Inputs!$C$28))</f>
        <v>0</v>
      </c>
      <c r="I12" s="16">
        <f>(Cash_Flows!W27*1.3)-(Cash_Flows!V27*(1+(180-Inputs!$C$28)/Inputs!$C$28))</f>
        <v>0</v>
      </c>
    </row>
    <row r="13" spans="2:12">
      <c r="B13" s="3" t="s">
        <v>218</v>
      </c>
      <c r="C13" s="16">
        <f>(Cash_Flows!W27*0.7)-(Cash_Flows!V27*(1+(200-Inputs!$C$28)/Inputs!$C$28))</f>
        <v>0</v>
      </c>
      <c r="D13" s="16">
        <f>(Cash_Flows!W27*0.8)-(Cash_Flows!V27*(1+(200-Inputs!$C$28)/Inputs!$C$28))</f>
        <v>0</v>
      </c>
      <c r="E13" s="16">
        <f>(Cash_Flows!W27*0.9)-(Cash_Flows!V27*(1+(200-Inputs!$C$28)/Inputs!$C$28))</f>
        <v>0</v>
      </c>
      <c r="F13" s="16">
        <f>(Cash_Flows!W27*1.0)-(Cash_Flows!V27*(1+(200-Inputs!$C$28)/Inputs!$C$28))</f>
        <v>0</v>
      </c>
      <c r="G13" s="16">
        <f>(Cash_Flows!W27*1.1)-(Cash_Flows!V27*(1+(200-Inputs!$C$28)/Inputs!$C$28))</f>
        <v>0</v>
      </c>
      <c r="H13" s="16">
        <f>(Cash_Flows!W27*1.2)-(Cash_Flows!V27*(1+(200-Inputs!$C$28)/Inputs!$C$28))</f>
        <v>0</v>
      </c>
      <c r="I13" s="16">
        <f>(Cash_Flows!W27*1.3)-(Cash_Flows!V27*(1+(200-Inputs!$C$28)/Inputs!$C$28))</f>
        <v>0</v>
      </c>
    </row>
    <row r="14" spans="2:12">
      <c r="B14" s="3" t="s">
        <v>219</v>
      </c>
      <c r="C14" s="16">
        <f>(Cash_Flows!W27*0.7)-(Cash_Flows!V27*(1+(220-Inputs!$C$28)/Inputs!$C$28))</f>
        <v>0</v>
      </c>
      <c r="D14" s="16">
        <f>(Cash_Flows!W27*0.8)-(Cash_Flows!V27*(1+(220-Inputs!$C$28)/Inputs!$C$28))</f>
        <v>0</v>
      </c>
      <c r="E14" s="16">
        <f>(Cash_Flows!W27*0.9)-(Cash_Flows!V27*(1+(220-Inputs!$C$28)/Inputs!$C$28))</f>
        <v>0</v>
      </c>
      <c r="F14" s="16">
        <f>(Cash_Flows!W27*1.0)-(Cash_Flows!V27*(1+(220-Inputs!$C$28)/Inputs!$C$28))</f>
        <v>0</v>
      </c>
      <c r="G14" s="16">
        <f>(Cash_Flows!W27*1.1)-(Cash_Flows!V27*(1+(220-Inputs!$C$28)/Inputs!$C$28))</f>
        <v>0</v>
      </c>
      <c r="H14" s="16">
        <f>(Cash_Flows!W27*1.2)-(Cash_Flows!V27*(1+(220-Inputs!$C$28)/Inputs!$C$28))</f>
        <v>0</v>
      </c>
      <c r="I14" s="16">
        <f>(Cash_Flows!W27*1.3)-(Cash_Flows!V27*(1+(220-Inputs!$C$28)/Inputs!$C$28))</f>
        <v>0</v>
      </c>
    </row>
    <row r="17" spans="2:12">
      <c r="B17" s="2" t="s">
        <v>220</v>
      </c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2:12">
      <c r="B18" s="9" t="s">
        <v>167</v>
      </c>
      <c r="C18" s="9" t="s">
        <v>206</v>
      </c>
      <c r="D18" s="9" t="s">
        <v>207</v>
      </c>
      <c r="E18" s="9" t="s">
        <v>208</v>
      </c>
      <c r="F18" s="9" t="s">
        <v>209</v>
      </c>
      <c r="G18" s="9" t="s">
        <v>210</v>
      </c>
      <c r="H18" s="9" t="s">
        <v>211</v>
      </c>
      <c r="I18" s="9" t="s">
        <v>212</v>
      </c>
    </row>
    <row r="19" spans="2:12">
      <c r="B19" s="3" t="s">
        <v>213</v>
      </c>
      <c r="C19" s="18">
        <f>(Cash_Flows!W27*0.7)/(Cash_Flows!V27*(1+(100-Inputs!$C$28)/Inputs!$C$28))</f>
        <v>0</v>
      </c>
      <c r="D19" s="18">
        <f>(Cash_Flows!W27*0.8)/(Cash_Flows!V27*(1+(100-Inputs!$C$28)/Inputs!$C$28))</f>
        <v>0</v>
      </c>
      <c r="E19" s="18">
        <f>(Cash_Flows!W27*0.9)/(Cash_Flows!V27*(1+(100-Inputs!$C$28)/Inputs!$C$28))</f>
        <v>0</v>
      </c>
      <c r="F19" s="18">
        <f>(Cash_Flows!W27*1.0)/(Cash_Flows!V27*(1+(100-Inputs!$C$28)/Inputs!$C$28))</f>
        <v>0</v>
      </c>
      <c r="G19" s="18">
        <f>(Cash_Flows!W27*1.1)/(Cash_Flows!V27*(1+(100-Inputs!$C$28)/Inputs!$C$28))</f>
        <v>0</v>
      </c>
      <c r="H19" s="18">
        <f>(Cash_Flows!W27*1.2)/(Cash_Flows!V27*(1+(100-Inputs!$C$28)/Inputs!$C$28))</f>
        <v>0</v>
      </c>
      <c r="I19" s="18">
        <f>(Cash_Flows!W27*1.3)/(Cash_Flows!V27*(1+(100-Inputs!$C$28)/Inputs!$C$28))</f>
        <v>0</v>
      </c>
    </row>
    <row r="20" spans="2:12">
      <c r="B20" s="3" t="s">
        <v>214</v>
      </c>
      <c r="C20" s="18">
        <f>(Cash_Flows!W27*0.7)/(Cash_Flows!V27*(1+(120-Inputs!$C$28)/Inputs!$C$28))</f>
        <v>0</v>
      </c>
      <c r="D20" s="18">
        <f>(Cash_Flows!W27*0.8)/(Cash_Flows!V27*(1+(120-Inputs!$C$28)/Inputs!$C$28))</f>
        <v>0</v>
      </c>
      <c r="E20" s="18">
        <f>(Cash_Flows!W27*0.9)/(Cash_Flows!V27*(1+(120-Inputs!$C$28)/Inputs!$C$28))</f>
        <v>0</v>
      </c>
      <c r="F20" s="18">
        <f>(Cash_Flows!W27*1.0)/(Cash_Flows!V27*(1+(120-Inputs!$C$28)/Inputs!$C$28))</f>
        <v>0</v>
      </c>
      <c r="G20" s="18">
        <f>(Cash_Flows!W27*1.1)/(Cash_Flows!V27*(1+(120-Inputs!$C$28)/Inputs!$C$28))</f>
        <v>0</v>
      </c>
      <c r="H20" s="18">
        <f>(Cash_Flows!W27*1.2)/(Cash_Flows!V27*(1+(120-Inputs!$C$28)/Inputs!$C$28))</f>
        <v>0</v>
      </c>
      <c r="I20" s="18">
        <f>(Cash_Flows!W27*1.3)/(Cash_Flows!V27*(1+(120-Inputs!$C$28)/Inputs!$C$28))</f>
        <v>0</v>
      </c>
    </row>
    <row r="21" spans="2:12">
      <c r="B21" s="3" t="s">
        <v>215</v>
      </c>
      <c r="C21" s="18">
        <f>(Cash_Flows!W27*0.7)/(Cash_Flows!V27*(1+(140-Inputs!$C$28)/Inputs!$C$28))</f>
        <v>0</v>
      </c>
      <c r="D21" s="18">
        <f>(Cash_Flows!W27*0.8)/(Cash_Flows!V27*(1+(140-Inputs!$C$28)/Inputs!$C$28))</f>
        <v>0</v>
      </c>
      <c r="E21" s="18">
        <f>(Cash_Flows!W27*0.9)/(Cash_Flows!V27*(1+(140-Inputs!$C$28)/Inputs!$C$28))</f>
        <v>0</v>
      </c>
      <c r="F21" s="18">
        <f>(Cash_Flows!W27*1.0)/(Cash_Flows!V27*(1+(140-Inputs!$C$28)/Inputs!$C$28))</f>
        <v>0</v>
      </c>
      <c r="G21" s="18">
        <f>(Cash_Flows!W27*1.1)/(Cash_Flows!V27*(1+(140-Inputs!$C$28)/Inputs!$C$28))</f>
        <v>0</v>
      </c>
      <c r="H21" s="18">
        <f>(Cash_Flows!W27*1.2)/(Cash_Flows!V27*(1+(140-Inputs!$C$28)/Inputs!$C$28))</f>
        <v>0</v>
      </c>
      <c r="I21" s="18">
        <f>(Cash_Flows!W27*1.3)/(Cash_Flows!V27*(1+(140-Inputs!$C$28)/Inputs!$C$28))</f>
        <v>0</v>
      </c>
    </row>
    <row r="22" spans="2:12">
      <c r="B22" s="3" t="s">
        <v>216</v>
      </c>
      <c r="C22" s="18">
        <f>(Cash_Flows!W27*0.7)/(Cash_Flows!V27*(1+(160-Inputs!$C$28)/Inputs!$C$28))</f>
        <v>0</v>
      </c>
      <c r="D22" s="18">
        <f>(Cash_Flows!W27*0.8)/(Cash_Flows!V27*(1+(160-Inputs!$C$28)/Inputs!$C$28))</f>
        <v>0</v>
      </c>
      <c r="E22" s="18">
        <f>(Cash_Flows!W27*0.9)/(Cash_Flows!V27*(1+(160-Inputs!$C$28)/Inputs!$C$28))</f>
        <v>0</v>
      </c>
      <c r="F22" s="18">
        <f>(Cash_Flows!W27*1.0)/(Cash_Flows!V27*(1+(160-Inputs!$C$28)/Inputs!$C$28))</f>
        <v>0</v>
      </c>
      <c r="G22" s="18">
        <f>(Cash_Flows!W27*1.1)/(Cash_Flows!V27*(1+(160-Inputs!$C$28)/Inputs!$C$28))</f>
        <v>0</v>
      </c>
      <c r="H22" s="18">
        <f>(Cash_Flows!W27*1.2)/(Cash_Flows!V27*(1+(160-Inputs!$C$28)/Inputs!$C$28))</f>
        <v>0</v>
      </c>
      <c r="I22" s="18">
        <f>(Cash_Flows!W27*1.3)/(Cash_Flows!V27*(1+(160-Inputs!$C$28)/Inputs!$C$28))</f>
        <v>0</v>
      </c>
    </row>
    <row r="23" spans="2:12">
      <c r="B23" s="3" t="s">
        <v>217</v>
      </c>
      <c r="C23" s="18">
        <f>(Cash_Flows!W27*0.7)/(Cash_Flows!V27*(1+(180-Inputs!$C$28)/Inputs!$C$28))</f>
        <v>0</v>
      </c>
      <c r="D23" s="18">
        <f>(Cash_Flows!W27*0.8)/(Cash_Flows!V27*(1+(180-Inputs!$C$28)/Inputs!$C$28))</f>
        <v>0</v>
      </c>
      <c r="E23" s="18">
        <f>(Cash_Flows!W27*0.9)/(Cash_Flows!V27*(1+(180-Inputs!$C$28)/Inputs!$C$28))</f>
        <v>0</v>
      </c>
      <c r="F23" s="18">
        <f>(Cash_Flows!W27*1.0)/(Cash_Flows!V27*(1+(180-Inputs!$C$28)/Inputs!$C$28))</f>
        <v>0</v>
      </c>
      <c r="G23" s="18">
        <f>(Cash_Flows!W27*1.1)/(Cash_Flows!V27*(1+(180-Inputs!$C$28)/Inputs!$C$28))</f>
        <v>0</v>
      </c>
      <c r="H23" s="18">
        <f>(Cash_Flows!W27*1.2)/(Cash_Flows!V27*(1+(180-Inputs!$C$28)/Inputs!$C$28))</f>
        <v>0</v>
      </c>
      <c r="I23" s="18">
        <f>(Cash_Flows!W27*1.3)/(Cash_Flows!V27*(1+(180-Inputs!$C$28)/Inputs!$C$28))</f>
        <v>0</v>
      </c>
    </row>
    <row r="24" spans="2:12">
      <c r="B24" s="3" t="s">
        <v>218</v>
      </c>
      <c r="C24" s="18">
        <f>(Cash_Flows!W27*0.7)/(Cash_Flows!V27*(1+(200-Inputs!$C$28)/Inputs!$C$28))</f>
        <v>0</v>
      </c>
      <c r="D24" s="18">
        <f>(Cash_Flows!W27*0.8)/(Cash_Flows!V27*(1+(200-Inputs!$C$28)/Inputs!$C$28))</f>
        <v>0</v>
      </c>
      <c r="E24" s="18">
        <f>(Cash_Flows!W27*0.9)/(Cash_Flows!V27*(1+(200-Inputs!$C$28)/Inputs!$C$28))</f>
        <v>0</v>
      </c>
      <c r="F24" s="18">
        <f>(Cash_Flows!W27*1.0)/(Cash_Flows!V27*(1+(200-Inputs!$C$28)/Inputs!$C$28))</f>
        <v>0</v>
      </c>
      <c r="G24" s="18">
        <f>(Cash_Flows!W27*1.1)/(Cash_Flows!V27*(1+(200-Inputs!$C$28)/Inputs!$C$28))</f>
        <v>0</v>
      </c>
      <c r="H24" s="18">
        <f>(Cash_Flows!W27*1.2)/(Cash_Flows!V27*(1+(200-Inputs!$C$28)/Inputs!$C$28))</f>
        <v>0</v>
      </c>
      <c r="I24" s="18">
        <f>(Cash_Flows!W27*1.3)/(Cash_Flows!V27*(1+(200-Inputs!$C$28)/Inputs!$C$28))</f>
        <v>0</v>
      </c>
    </row>
    <row r="25" spans="2:12">
      <c r="B25" s="3" t="s">
        <v>219</v>
      </c>
      <c r="C25" s="18">
        <f>(Cash_Flows!W27*0.7)/(Cash_Flows!V27*(1+(220-Inputs!$C$28)/Inputs!$C$28))</f>
        <v>0</v>
      </c>
      <c r="D25" s="18">
        <f>(Cash_Flows!W27*0.8)/(Cash_Flows!V27*(1+(220-Inputs!$C$28)/Inputs!$C$28))</f>
        <v>0</v>
      </c>
      <c r="E25" s="18">
        <f>(Cash_Flows!W27*0.9)/(Cash_Flows!V27*(1+(220-Inputs!$C$28)/Inputs!$C$28))</f>
        <v>0</v>
      </c>
      <c r="F25" s="18">
        <f>(Cash_Flows!W27*1.0)/(Cash_Flows!V27*(1+(220-Inputs!$C$28)/Inputs!$C$28))</f>
        <v>0</v>
      </c>
      <c r="G25" s="18">
        <f>(Cash_Flows!W27*1.1)/(Cash_Flows!V27*(1+(220-Inputs!$C$28)/Inputs!$C$28))</f>
        <v>0</v>
      </c>
      <c r="H25" s="18">
        <f>(Cash_Flows!W27*1.2)/(Cash_Flows!V27*(1+(220-Inputs!$C$28)/Inputs!$C$28))</f>
        <v>0</v>
      </c>
      <c r="I25" s="18">
        <f>(Cash_Flows!W27*1.3)/(Cash_Flows!V27*(1+(220-Inputs!$C$28)/Inputs!$C$28))</f>
        <v>0</v>
      </c>
    </row>
    <row r="28" spans="2:12">
      <c r="B28" s="2" t="s">
        <v>221</v>
      </c>
      <c r="C28" s="2"/>
      <c r="D28" s="2"/>
      <c r="E28" s="2"/>
    </row>
    <row r="29" spans="2:12">
      <c r="B29" s="9" t="s">
        <v>222</v>
      </c>
      <c r="C29" s="9" t="s">
        <v>223</v>
      </c>
      <c r="D29" s="9" t="s">
        <v>224</v>
      </c>
      <c r="E29" s="9" t="s">
        <v>225</v>
      </c>
    </row>
    <row r="30" spans="2:12">
      <c r="B30" t="s">
        <v>39</v>
      </c>
      <c r="C30">
        <f>Inputs!C28</f>
        <v>0</v>
      </c>
      <c r="D30" s="16">
        <f>Results!C12-(Calculations!C9*0.2/(1+Inputs!C14)^0)</f>
        <v>0</v>
      </c>
      <c r="E30" s="16">
        <f>Results!C12+(Calculations!C9*0.2/(1+Inputs!C14)^0)</f>
        <v>0</v>
      </c>
    </row>
    <row r="31" spans="2:12">
      <c r="B31" t="s">
        <v>132</v>
      </c>
      <c r="C31">
        <f>Cash_Flows!W27</f>
        <v>0</v>
      </c>
      <c r="D31" s="16">
        <f>Results!C12-Cash_Flows!W27*0.2</f>
        <v>0</v>
      </c>
      <c r="E31" s="16">
        <f>Results!C12+Cash_Flows!W27*0.2</f>
        <v>0</v>
      </c>
    </row>
    <row r="32" spans="2:12">
      <c r="B32" t="s">
        <v>226</v>
      </c>
      <c r="C32">
        <f>Inputs!C14</f>
        <v>0</v>
      </c>
      <c r="D32" s="16">
        <f>Results!C12*1.15</f>
        <v>0</v>
      </c>
      <c r="E32" s="16">
        <f>Results!C12*0.85</f>
        <v>0</v>
      </c>
    </row>
    <row r="33" spans="2:12">
      <c r="B33" t="s">
        <v>36</v>
      </c>
      <c r="C33">
        <f>Inputs!C23</f>
        <v>0</v>
      </c>
      <c r="D33" s="16">
        <f>Results!C12*0.85</f>
        <v>0</v>
      </c>
      <c r="E33" s="16">
        <f>Results!C12*1.15</f>
        <v>0</v>
      </c>
    </row>
    <row r="36" spans="2:12">
      <c r="B36" s="2" t="s">
        <v>227</v>
      </c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2:12">
      <c r="B37" s="5" t="s">
        <v>228</v>
      </c>
    </row>
    <row r="38" spans="2:12">
      <c r="B38" s="5" t="s">
        <v>229</v>
      </c>
    </row>
    <row r="39" spans="2:12">
      <c r="B39" s="5" t="s">
        <v>230</v>
      </c>
    </row>
    <row r="40" spans="2:12">
      <c r="B40" s="5" t="s">
        <v>231</v>
      </c>
    </row>
    <row r="41" spans="2:12">
      <c r="B41" s="5" t="s">
        <v>232</v>
      </c>
    </row>
  </sheetData>
  <mergeCells count="6">
    <mergeCell ref="B2:L2"/>
    <mergeCell ref="B4:L4"/>
    <mergeCell ref="B6:L6"/>
    <mergeCell ref="B17:L17"/>
    <mergeCell ref="B28:E28"/>
    <mergeCell ref="B36:L36"/>
  </mergeCells>
  <conditionalFormatting sqref="C19:I19">
    <cfRule type="cellIs" dxfId="0" priority="1" operator="greaterThanOrEqual">
      <formula>1.5</formula>
    </cfRule>
    <cfRule type="cellIs" dxfId="1" priority="2" operator="between">
      <formula>1</formula>
      <formula>1.5</formula>
    </cfRule>
    <cfRule type="cellIs" dxfId="2" priority="3" operator="lessThan">
      <formula>1</formula>
    </cfRule>
  </conditionalFormatting>
  <conditionalFormatting sqref="C20:I20">
    <cfRule type="cellIs" dxfId="0" priority="4" operator="greaterThanOrEqual">
      <formula>1.5</formula>
    </cfRule>
    <cfRule type="cellIs" dxfId="1" priority="5" operator="between">
      <formula>1</formula>
      <formula>1.5</formula>
    </cfRule>
    <cfRule type="cellIs" dxfId="2" priority="6" operator="lessThan">
      <formula>1</formula>
    </cfRule>
  </conditionalFormatting>
  <conditionalFormatting sqref="C21:I21">
    <cfRule type="cellIs" dxfId="0" priority="7" operator="greaterThanOrEqual">
      <formula>1.5</formula>
    </cfRule>
    <cfRule type="cellIs" dxfId="1" priority="8" operator="between">
      <formula>1</formula>
      <formula>1.5</formula>
    </cfRule>
    <cfRule type="cellIs" dxfId="2" priority="9" operator="lessThan">
      <formula>1</formula>
    </cfRule>
  </conditionalFormatting>
  <conditionalFormatting sqref="C22:I22">
    <cfRule type="cellIs" dxfId="0" priority="10" operator="greaterThanOrEqual">
      <formula>1.5</formula>
    </cfRule>
    <cfRule type="cellIs" dxfId="1" priority="11" operator="between">
      <formula>1</formula>
      <formula>1.5</formula>
    </cfRule>
    <cfRule type="cellIs" dxfId="2" priority="12" operator="lessThan">
      <formula>1</formula>
    </cfRule>
  </conditionalFormatting>
  <conditionalFormatting sqref="C23:I23">
    <cfRule type="cellIs" dxfId="0" priority="13" operator="greaterThanOrEqual">
      <formula>1.5</formula>
    </cfRule>
    <cfRule type="cellIs" dxfId="1" priority="14" operator="between">
      <formula>1</formula>
      <formula>1.5</formula>
    </cfRule>
    <cfRule type="cellIs" dxfId="2" priority="15" operator="lessThan">
      <formula>1</formula>
    </cfRule>
  </conditionalFormatting>
  <conditionalFormatting sqref="C24:I24">
    <cfRule type="cellIs" dxfId="0" priority="16" operator="greaterThanOrEqual">
      <formula>1.5</formula>
    </cfRule>
    <cfRule type="cellIs" dxfId="1" priority="17" operator="between">
      <formula>1</formula>
      <formula>1.5</formula>
    </cfRule>
    <cfRule type="cellIs" dxfId="2" priority="18" operator="lessThan">
      <formula>1</formula>
    </cfRule>
  </conditionalFormatting>
  <conditionalFormatting sqref="C25:I25">
    <cfRule type="cellIs" dxfId="0" priority="19" operator="greaterThanOrEqual">
      <formula>1.5</formula>
    </cfRule>
    <cfRule type="cellIs" dxfId="1" priority="20" operator="between">
      <formula>1</formula>
      <formula>1.5</formula>
    </cfRule>
    <cfRule type="cellIs" dxfId="2" priority="21" operator="lessThan">
      <formula>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B2:B39"/>
  <sheetViews>
    <sheetView workbookViewId="0"/>
  </sheetViews>
  <sheetFormatPr defaultRowHeight="15"/>
  <cols>
    <col min="1" max="1" width="3.7109375" customWidth="1"/>
    <col min="2" max="2" width="90.7109375" customWidth="1"/>
  </cols>
  <sheetData>
    <row r="2" spans="2:2">
      <c r="B2" s="1" t="s">
        <v>233</v>
      </c>
    </row>
    <row r="4" spans="2:2">
      <c r="B4" s="2" t="s">
        <v>234</v>
      </c>
    </row>
    <row r="5" spans="2:2" ht="45" customHeight="1">
      <c r="B5" s="19" t="s">
        <v>235</v>
      </c>
    </row>
    <row r="7" spans="2:2">
      <c r="B7" s="2" t="s">
        <v>163</v>
      </c>
    </row>
    <row r="8" spans="2:2">
      <c r="B8" s="3" t="s">
        <v>186</v>
      </c>
    </row>
    <row r="9" spans="2:2">
      <c r="B9" s="5" t="s">
        <v>236</v>
      </c>
    </row>
    <row r="10" spans="2:2">
      <c r="B10" t="s">
        <v>237</v>
      </c>
    </row>
    <row r="12" spans="2:2">
      <c r="B12" s="3" t="s">
        <v>184</v>
      </c>
    </row>
    <row r="13" spans="2:2">
      <c r="B13" s="5" t="s">
        <v>238</v>
      </c>
    </row>
    <row r="14" spans="2:2">
      <c r="B14" t="s">
        <v>239</v>
      </c>
    </row>
    <row r="16" spans="2:2">
      <c r="B16" s="3" t="s">
        <v>188</v>
      </c>
    </row>
    <row r="17" spans="2:2">
      <c r="B17" s="5" t="s">
        <v>240</v>
      </c>
    </row>
    <row r="18" spans="2:2">
      <c r="B18" t="s">
        <v>241</v>
      </c>
    </row>
    <row r="20" spans="2:2">
      <c r="B20" s="3" t="s">
        <v>242</v>
      </c>
    </row>
    <row r="21" spans="2:2">
      <c r="B21" s="5" t="s">
        <v>243</v>
      </c>
    </row>
    <row r="22" spans="2:2">
      <c r="B22" t="s">
        <v>244</v>
      </c>
    </row>
    <row r="24" spans="2:2">
      <c r="B24" s="3" t="s">
        <v>245</v>
      </c>
    </row>
    <row r="25" spans="2:2">
      <c r="B25" s="5" t="s">
        <v>246</v>
      </c>
    </row>
    <row r="26" spans="2:2">
      <c r="B26" t="s">
        <v>247</v>
      </c>
    </row>
    <row r="28" spans="2:2">
      <c r="B28" s="2" t="s">
        <v>248</v>
      </c>
    </row>
    <row r="29" spans="2:2">
      <c r="B29" s="19" t="s">
        <v>249</v>
      </c>
    </row>
    <row r="30" spans="2:2">
      <c r="B30" s="19" t="s">
        <v>250</v>
      </c>
    </row>
    <row r="31" spans="2:2">
      <c r="B31" s="19" t="s">
        <v>251</v>
      </c>
    </row>
    <row r="32" spans="2:2">
      <c r="B32" s="19" t="s">
        <v>252</v>
      </c>
    </row>
    <row r="33" spans="2:2">
      <c r="B33" s="19" t="s">
        <v>253</v>
      </c>
    </row>
    <row r="34" spans="2:2">
      <c r="B34" s="19" t="s">
        <v>254</v>
      </c>
    </row>
    <row r="35" spans="2:2">
      <c r="B35" s="19" t="s">
        <v>255</v>
      </c>
    </row>
    <row r="36" spans="2:2">
      <c r="B36" s="19" t="s">
        <v>256</v>
      </c>
    </row>
    <row r="38" spans="2:2">
      <c r="B38" s="2" t="s">
        <v>257</v>
      </c>
    </row>
    <row r="39" spans="2:2" ht="45" customHeight="1">
      <c r="B39" s="19" t="s">
        <v>258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44"/>
  <sheetViews>
    <sheetView workbookViewId="0"/>
  </sheetViews>
  <sheetFormatPr defaultRowHeight="15"/>
  <cols>
    <col min="1" max="1" width="35.7109375" customWidth="1"/>
    <col min="2" max="4" width="18.7109375" customWidth="1"/>
  </cols>
  <sheetData>
    <row r="1" spans="1:4">
      <c r="A1" s="1" t="s">
        <v>259</v>
      </c>
    </row>
    <row r="3" spans="1:4">
      <c r="A3" s="9" t="s">
        <v>222</v>
      </c>
      <c r="B3" s="9" t="s">
        <v>260</v>
      </c>
      <c r="C3" s="9" t="s">
        <v>261</v>
      </c>
      <c r="D3" s="9" t="s">
        <v>262</v>
      </c>
    </row>
    <row r="4" spans="1:4">
      <c r="A4" t="s">
        <v>39</v>
      </c>
      <c r="B4">
        <v>160</v>
      </c>
      <c r="C4">
        <v>145</v>
      </c>
      <c r="D4">
        <v>155</v>
      </c>
    </row>
    <row r="5" spans="1:4">
      <c r="A5" t="s">
        <v>263</v>
      </c>
      <c r="B5">
        <v>25</v>
      </c>
      <c r="C5">
        <v>22</v>
      </c>
      <c r="D5">
        <v>26</v>
      </c>
    </row>
    <row r="6" spans="1:4">
      <c r="A6" t="s">
        <v>45</v>
      </c>
      <c r="B6">
        <v>0</v>
      </c>
      <c r="C6">
        <v>0.5</v>
      </c>
      <c r="D6">
        <v>0</v>
      </c>
    </row>
    <row r="7" spans="1:4">
      <c r="A7" t="s">
        <v>264</v>
      </c>
      <c r="B7">
        <v>55</v>
      </c>
      <c r="C7">
        <v>50</v>
      </c>
      <c r="D7">
        <v>52</v>
      </c>
    </row>
    <row r="8" spans="1:4">
      <c r="A8" t="s">
        <v>50</v>
      </c>
      <c r="B8">
        <v>10</v>
      </c>
      <c r="C8">
        <v>8</v>
      </c>
      <c r="D8">
        <v>12</v>
      </c>
    </row>
    <row r="9" spans="1:4">
      <c r="A9" t="s">
        <v>53</v>
      </c>
      <c r="B9">
        <v>30</v>
      </c>
      <c r="C9">
        <v>35</v>
      </c>
      <c r="D9">
        <v>25</v>
      </c>
    </row>
    <row r="10" spans="1:4">
      <c r="A10" t="s">
        <v>265</v>
      </c>
      <c r="B10" t="s">
        <v>266</v>
      </c>
      <c r="C10" t="s">
        <v>266</v>
      </c>
      <c r="D10" t="s">
        <v>266</v>
      </c>
    </row>
    <row r="11" spans="1:4">
      <c r="A11" t="s">
        <v>267</v>
      </c>
      <c r="B11" t="s">
        <v>268</v>
      </c>
      <c r="C11" t="s">
        <v>269</v>
      </c>
      <c r="D11" t="s">
        <v>268</v>
      </c>
    </row>
    <row r="12" spans="1:4">
      <c r="A12" t="s">
        <v>270</v>
      </c>
      <c r="B12" t="s">
        <v>271</v>
      </c>
      <c r="C12" t="s">
        <v>272</v>
      </c>
      <c r="D12" t="s">
        <v>271</v>
      </c>
    </row>
    <row r="13" spans="1:4">
      <c r="A13" t="s">
        <v>32</v>
      </c>
      <c r="B13">
        <v>6000</v>
      </c>
      <c r="C13">
        <v>6500</v>
      </c>
      <c r="D13">
        <v>6000</v>
      </c>
    </row>
    <row r="14" spans="1:4">
      <c r="A14" t="s">
        <v>36</v>
      </c>
      <c r="B14">
        <v>1</v>
      </c>
      <c r="C14">
        <v>1</v>
      </c>
      <c r="D14">
        <v>1</v>
      </c>
    </row>
    <row r="15" spans="1:4">
      <c r="A15" t="s">
        <v>273</v>
      </c>
      <c r="B15" t="s">
        <v>274</v>
      </c>
      <c r="C15" t="s">
        <v>266</v>
      </c>
      <c r="D15" t="s">
        <v>275</v>
      </c>
    </row>
    <row r="17" spans="1:4">
      <c r="A17" s="3" t="s">
        <v>276</v>
      </c>
    </row>
    <row r="18" spans="1:4">
      <c r="A18" t="s">
        <v>277</v>
      </c>
      <c r="B18" t="s">
        <v>278</v>
      </c>
      <c r="C18" t="s">
        <v>278</v>
      </c>
      <c r="D18" t="s">
        <v>278</v>
      </c>
    </row>
    <row r="19" spans="1:4">
      <c r="A19" t="s">
        <v>279</v>
      </c>
      <c r="B19" t="s">
        <v>280</v>
      </c>
      <c r="C19" t="s">
        <v>280</v>
      </c>
      <c r="D19" t="s">
        <v>266</v>
      </c>
    </row>
    <row r="21" spans="1:4">
      <c r="A21" s="3" t="s">
        <v>281</v>
      </c>
    </row>
    <row r="22" spans="1:4">
      <c r="A22" t="s">
        <v>64</v>
      </c>
      <c r="B22">
        <v>100</v>
      </c>
      <c r="C22">
        <v>90</v>
      </c>
      <c r="D22">
        <v>120</v>
      </c>
    </row>
    <row r="23" spans="1:4">
      <c r="A23" t="s">
        <v>66</v>
      </c>
      <c r="B23">
        <v>10</v>
      </c>
      <c r="C23">
        <v>8</v>
      </c>
      <c r="D23">
        <v>15</v>
      </c>
    </row>
    <row r="24" spans="1:4">
      <c r="A24" t="s">
        <v>68</v>
      </c>
      <c r="B24">
        <v>15</v>
      </c>
      <c r="C24">
        <v>12</v>
      </c>
      <c r="D24">
        <v>20</v>
      </c>
    </row>
    <row r="25" spans="1:4">
      <c r="A25" t="s">
        <v>282</v>
      </c>
      <c r="B25" t="s">
        <v>283</v>
      </c>
      <c r="C25" t="s">
        <v>283</v>
      </c>
      <c r="D25" t="s">
        <v>283</v>
      </c>
    </row>
    <row r="26" spans="1:4">
      <c r="A26" t="s">
        <v>72</v>
      </c>
      <c r="B26" t="s">
        <v>284</v>
      </c>
      <c r="C26" t="s">
        <v>284</v>
      </c>
      <c r="D26" t="s">
        <v>285</v>
      </c>
    </row>
    <row r="28" spans="1:4">
      <c r="A28" s="3" t="s">
        <v>286</v>
      </c>
    </row>
    <row r="29" spans="1:4">
      <c r="A29" t="s">
        <v>287</v>
      </c>
      <c r="B29" t="s">
        <v>288</v>
      </c>
      <c r="C29" t="s">
        <v>289</v>
      </c>
      <c r="D29" t="s">
        <v>290</v>
      </c>
    </row>
    <row r="30" spans="1:4">
      <c r="A30" t="s">
        <v>291</v>
      </c>
      <c r="B30" t="s">
        <v>292</v>
      </c>
      <c r="C30" t="s">
        <v>293</v>
      </c>
      <c r="D30" t="s">
        <v>294</v>
      </c>
    </row>
    <row r="31" spans="1:4">
      <c r="A31" t="s">
        <v>79</v>
      </c>
      <c r="B31">
        <v>15</v>
      </c>
      <c r="C31">
        <v>15</v>
      </c>
      <c r="D31">
        <v>20</v>
      </c>
    </row>
    <row r="32" spans="1:4">
      <c r="A32" t="s">
        <v>295</v>
      </c>
      <c r="B32" t="s">
        <v>266</v>
      </c>
      <c r="C32" t="s">
        <v>274</v>
      </c>
      <c r="D32" t="s">
        <v>296</v>
      </c>
    </row>
    <row r="33" spans="1:4">
      <c r="A33" t="s">
        <v>297</v>
      </c>
      <c r="B33" t="s">
        <v>298</v>
      </c>
      <c r="C33" t="s">
        <v>298</v>
      </c>
      <c r="D33" t="s">
        <v>298</v>
      </c>
    </row>
    <row r="34" spans="1:4">
      <c r="A34" t="s">
        <v>85</v>
      </c>
      <c r="B34" t="s">
        <v>299</v>
      </c>
      <c r="C34" t="s">
        <v>300</v>
      </c>
      <c r="D34" t="s">
        <v>301</v>
      </c>
    </row>
    <row r="36" spans="1:4">
      <c r="A36" s="3" t="s">
        <v>302</v>
      </c>
    </row>
    <row r="37" spans="1:4">
      <c r="A37" t="s">
        <v>303</v>
      </c>
      <c r="B37" s="16">
        <v>150</v>
      </c>
      <c r="C37" s="16">
        <v>140</v>
      </c>
      <c r="D37" s="16">
        <v>180</v>
      </c>
    </row>
    <row r="38" spans="1:4">
      <c r="A38" t="s">
        <v>304</v>
      </c>
      <c r="B38" s="16">
        <v>40</v>
      </c>
      <c r="C38" s="16">
        <v>45</v>
      </c>
      <c r="D38" s="16">
        <v>35</v>
      </c>
    </row>
    <row r="39" spans="1:4">
      <c r="A39" t="s">
        <v>305</v>
      </c>
      <c r="B39" s="16">
        <v>15</v>
      </c>
      <c r="C39" s="16">
        <v>12</v>
      </c>
      <c r="D39" s="16">
        <v>10</v>
      </c>
    </row>
    <row r="40" spans="1:4">
      <c r="A40" t="s">
        <v>306</v>
      </c>
      <c r="B40" s="16">
        <v>25</v>
      </c>
      <c r="C40" s="16">
        <v>20</v>
      </c>
      <c r="D40" s="16">
        <v>25</v>
      </c>
    </row>
    <row r="41" spans="1:4">
      <c r="A41" t="s">
        <v>307</v>
      </c>
      <c r="B41" s="16">
        <v>50</v>
      </c>
      <c r="C41" s="16">
        <v>45</v>
      </c>
      <c r="D41" s="16">
        <v>60</v>
      </c>
    </row>
    <row r="42" spans="1:4">
      <c r="A42" t="s">
        <v>308</v>
      </c>
      <c r="B42" s="16">
        <v>25</v>
      </c>
      <c r="C42" s="16">
        <v>20</v>
      </c>
      <c r="D42" s="16">
        <v>30</v>
      </c>
    </row>
    <row r="43" spans="1:4">
      <c r="A43" t="s">
        <v>309</v>
      </c>
      <c r="B43" s="16">
        <v>15</v>
      </c>
      <c r="C43" s="16">
        <v>12</v>
      </c>
      <c r="D43" s="16">
        <v>20</v>
      </c>
    </row>
    <row r="44" spans="1:4">
      <c r="A44" t="s">
        <v>310</v>
      </c>
      <c r="B44" s="16">
        <v>8</v>
      </c>
      <c r="C44" s="16">
        <v>6</v>
      </c>
      <c r="D44" s="16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6</vt:i4>
      </vt:variant>
    </vt:vector>
  </HeadingPairs>
  <TitlesOfParts>
    <vt:vector size="13" baseType="lpstr">
      <vt:lpstr>Inputs</vt:lpstr>
      <vt:lpstr>Results</vt:lpstr>
      <vt:lpstr>Cash_Flows</vt:lpstr>
      <vt:lpstr>Calculations</vt:lpstr>
      <vt:lpstr>Sensitivity</vt:lpstr>
      <vt:lpstr>Methodology</vt:lpstr>
      <vt:lpstr>Library_Data</vt:lpstr>
      <vt:lpstr>Analysis_Years</vt:lpstr>
      <vt:lpstr>Capacity_MW</vt:lpstr>
      <vt:lpstr>Discount_Rate</vt:lpstr>
      <vt:lpstr>Duration_Hours</vt:lpstr>
      <vt:lpstr>Energy_MWh</vt:lpstr>
      <vt:lpstr>Learning_Rate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2026-02-07T01:49:27Z</dcterms:created>
  <dcterms:modified xsi:type="dcterms:W3CDTF">2026-02-07T01:49:27Z</dcterms:modified>
</cp:coreProperties>
</file>