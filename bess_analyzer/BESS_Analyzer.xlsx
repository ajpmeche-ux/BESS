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Results" sheetId="2" state="visible" r:id="rId2"/>
    <sheet name="Cash_Flows" sheetId="3" state="visible" r:id="rId3"/>
    <sheet name="Calculations" sheetId="4" state="visible" r:id="rId4"/>
    <sheet name="Methodology" sheetId="5" state="visible" r:id="rId5"/>
    <sheet name="Library_Data" sheetId="6" state="visible" r:id="rId6"/>
    <sheet name="VBA_Instructions" sheetId="7" state="visible" r:id="rId7"/>
  </sheets>
  <definedNames>
    <definedName name="Capacity_MW">Inputs!$C$8</definedName>
    <definedName name="Duration_Hours">Inputs!$C$9</definedName>
    <definedName name="Energy_MWh">Inputs!$C$10</definedName>
    <definedName name="Analysis_Years">Inputs!$C$11</definedName>
    <definedName name="Discount_Rate">Inputs!$C$12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0.0%"/>
    <numFmt numFmtId="166" formatCode="$#,##0.00"/>
    <numFmt numFmtId="167" formatCode="0.0000"/>
    <numFmt numFmtId="168" formatCode="0.0"/>
    <numFmt numFmtId="169" formatCode="$#,##0,,&quot;M&quot;"/>
  </numFmts>
  <fonts count="1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565C0"/>
      <sz val="12"/>
    </font>
    <font/>
    <font>
      <b val="1"/>
      <sz val="14"/>
    </font>
    <font>
      <b val="1"/>
      <color rgb="001565C0"/>
      <sz val="16"/>
    </font>
    <font>
      <b val="1"/>
    </font>
    <font>
      <i val="1"/>
      <color rgb="00666666"/>
    </font>
    <font>
      <b val="1"/>
      <color rgb="001565C0"/>
      <sz val="14"/>
    </font>
    <font>
      <i val="1"/>
    </font>
    <font>
      <b val="1"/>
      <color rgb="001565C0"/>
      <sz val="18"/>
    </font>
    <font>
      <color rgb="000066CC"/>
      <u val="single"/>
    </font>
    <font>
      <b val="1"/>
      <sz val="12"/>
    </font>
    <font>
      <name val="Courier New"/>
      <sz val="9"/>
    </font>
  </fonts>
  <fills count="6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E3F2FD"/>
      </patternFill>
    </fill>
    <fill>
      <patternFill patternType="solid">
        <fgColor rgb="00FFFDE7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8">
    <xf numFmtId="0" fontId="0" fillId="0" borderId="0"/>
    <xf numFmtId="0" fontId="1" fillId="2" borderId="1" applyAlignment="1">
      <alignment horizontal="center" vertical="center"/>
    </xf>
    <xf numFmtId="0" fontId="2" fillId="3" borderId="1"/>
    <xf numFmtId="0" fontId="3" fillId="4" borderId="2"/>
    <xf numFmtId="0" fontId="3" fillId="5" borderId="2"/>
    <xf numFmtId="0" fontId="4" fillId="3" borderId="1" applyAlignment="1">
      <alignment horizontal="center"/>
    </xf>
    <xf numFmtId="164" fontId="3" fillId="0" borderId="1"/>
    <xf numFmtId="165" fontId="3" fillId="0" borderId="1"/>
  </cellStyleXfs>
  <cellXfs count="28">
    <xf numFmtId="0" fontId="0" fillId="0" borderId="0" pivotButton="0" quotePrefix="0" xfId="0"/>
    <xf numFmtId="0" fontId="5" fillId="0" borderId="0" pivotButton="0" quotePrefix="0" xfId="0"/>
    <xf numFmtId="0" fontId="2" fillId="3" borderId="1" pivotButton="0" quotePrefix="0" xfId="2"/>
    <xf numFmtId="0" fontId="6" fillId="0" borderId="0" pivotButton="0" quotePrefix="0" xfId="0"/>
    <xf numFmtId="0" fontId="3" fillId="4" borderId="2" pivotButton="0" quotePrefix="0" xfId="3"/>
    <xf numFmtId="0" fontId="7" fillId="0" borderId="0" pivotButton="0" quotePrefix="0" xfId="0"/>
    <xf numFmtId="0" fontId="3" fillId="5" borderId="2" pivotButton="0" quotePrefix="0" xfId="4"/>
    <xf numFmtId="165" fontId="3" fillId="4" borderId="2" pivotButton="0" quotePrefix="0" xfId="3"/>
    <xf numFmtId="166" fontId="3" fillId="4" borderId="2" pivotButton="0" quotePrefix="0" xfId="3"/>
    <xf numFmtId="10" fontId="3" fillId="4" borderId="2" pivotButton="0" quotePrefix="0" xfId="3"/>
    <xf numFmtId="0" fontId="1" fillId="2" borderId="1" applyAlignment="1" pivotButton="0" quotePrefix="0" xfId="1">
      <alignment horizontal="center" vertical="center"/>
    </xf>
    <xf numFmtId="164" fontId="3" fillId="4" borderId="2" pivotButton="0" quotePrefix="0" xfId="3"/>
    <xf numFmtId="166" fontId="3" fillId="5" borderId="2" pivotButton="0" quotePrefix="0" xfId="4"/>
    <xf numFmtId="165" fontId="3" fillId="5" borderId="2" pivotButton="0" quotePrefix="0" xfId="4"/>
    <xf numFmtId="0" fontId="10" fillId="0" borderId="0" pivotButton="0" quotePrefix="0" xfId="0"/>
    <xf numFmtId="164" fontId="0" fillId="0" borderId="0" pivotButton="0" quotePrefix="0" xfId="0"/>
    <xf numFmtId="0" fontId="4" fillId="3" borderId="1" applyAlignment="1" pivotButton="0" quotePrefix="0" xfId="5">
      <alignment horizontal="center"/>
    </xf>
    <xf numFmtId="0" fontId="4" fillId="0" borderId="0" pivotButton="0" quotePrefix="0" xfId="0"/>
    <xf numFmtId="0" fontId="8" fillId="0" borderId="0" pivotButton="0" quotePrefix="0" xfId="0"/>
    <xf numFmtId="167" fontId="0" fillId="0" borderId="0" pivotButton="0" quotePrefix="0" xfId="0"/>
    <xf numFmtId="164" fontId="6" fillId="0" borderId="0" pivotButton="0" quotePrefix="0" xfId="0"/>
    <xf numFmtId="164" fontId="3" fillId="5" borderId="2" pivotButton="0" quotePrefix="0" xfId="4"/>
    <xf numFmtId="3" fontId="3" fillId="5" borderId="2" pivotButton="0" quotePrefix="0" xfId="4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8">
    <cellStyle name="Normal" xfId="0" builtinId="0" hidden="0"/>
    <cellStyle name="header" xfId="1" hidden="0"/>
    <cellStyle name="section" xfId="2" hidden="0"/>
    <cellStyle name="input" xfId="3" hidden="0"/>
    <cellStyle name="formula" xfId="4" hidden="0"/>
    <cellStyle name="result" xfId="5" hidden="0"/>
    <cellStyle name="currency" xfId="6" hidden="0"/>
    <cellStyle name="percent" xfId="7" hidden="0"/>
  </cellStyles>
  <dxfs count="3">
    <dxf>
      <fill>
        <patternFill patternType="solid">
          <fgColor rgb="00C8E6C9"/>
        </patternFill>
      </fill>
    </dxf>
    <dxf>
      <fill>
        <patternFill patternType="solid">
          <fgColor rgb="00FFF9C4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6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5" customWidth="1" min="4" max="4"/>
    <col width="40" customWidth="1" min="5" max="5"/>
  </cols>
  <sheetData>
    <row r="2">
      <c r="B2" s="1" t="inlineStr">
        <is>
          <t>BESS Economic Analysis - Project Inputs</t>
        </is>
      </c>
    </row>
    <row r="4">
      <c r="B4" s="2" t="inlineStr">
        <is>
          <t>PROJECT BASICS</t>
        </is>
      </c>
    </row>
    <row r="5">
      <c r="B5" s="3" t="inlineStr">
        <is>
          <t>Project Name</t>
        </is>
      </c>
      <c r="C5" s="4" t="inlineStr"/>
      <c r="D5" t="inlineStr"/>
      <c r="E5" s="5" t="inlineStr">
        <is>
          <t>Enter project name</t>
        </is>
      </c>
    </row>
    <row r="6">
      <c r="B6" s="3" t="inlineStr">
        <is>
          <t>Project ID</t>
        </is>
      </c>
      <c r="C6" s="4" t="inlineStr"/>
      <c r="D6" t="inlineStr"/>
      <c r="E6" s="5" t="inlineStr">
        <is>
          <t>Unique identifier</t>
        </is>
      </c>
    </row>
    <row r="7">
      <c r="B7" s="3" t="inlineStr">
        <is>
          <t>Location</t>
        </is>
      </c>
      <c r="C7" s="4" t="inlineStr"/>
      <c r="D7" t="inlineStr"/>
      <c r="E7" s="5" t="inlineStr">
        <is>
          <t>Site or market location (e.g., CAISO NP15)</t>
        </is>
      </c>
    </row>
    <row r="8">
      <c r="B8" s="3" t="inlineStr">
        <is>
          <t>Capacity (MW)</t>
        </is>
      </c>
      <c r="C8" s="4" t="n">
        <v>100</v>
      </c>
      <c r="D8" t="inlineStr">
        <is>
          <t>MW</t>
        </is>
      </c>
      <c r="E8" s="5" t="inlineStr">
        <is>
          <t>Nameplate power capacity</t>
        </is>
      </c>
    </row>
    <row r="9">
      <c r="B9" s="3" t="inlineStr">
        <is>
          <t>Duration (hours)</t>
        </is>
      </c>
      <c r="C9" s="4" t="n">
        <v>4</v>
      </c>
      <c r="D9" t="inlineStr">
        <is>
          <t>hrs</t>
        </is>
      </c>
      <c r="E9" s="5" t="inlineStr">
        <is>
          <t>Storage duration</t>
        </is>
      </c>
    </row>
    <row r="10">
      <c r="B10" s="3" t="inlineStr">
        <is>
          <t>Energy Capacity (MWh)</t>
        </is>
      </c>
      <c r="C10" s="6">
        <f>C8*C9</f>
        <v/>
      </c>
      <c r="D10" t="inlineStr">
        <is>
          <t>MW</t>
        </is>
      </c>
      <c r="E10" s="5" t="inlineStr">
        <is>
          <t>Auto-calculated: MW × hours</t>
        </is>
      </c>
    </row>
    <row r="11">
      <c r="B11" s="3" t="inlineStr">
        <is>
          <t>Analysis Period (years)</t>
        </is>
      </c>
      <c r="C11" s="4" t="n">
        <v>20</v>
      </c>
      <c r="D11" t="inlineStr">
        <is>
          <t>yrs</t>
        </is>
      </c>
      <c r="E11" s="5" t="inlineStr">
        <is>
          <t>Economic analysis horizon</t>
        </is>
      </c>
    </row>
    <row r="12">
      <c r="B12" s="3" t="inlineStr">
        <is>
          <t>Discount Rate (%)</t>
        </is>
      </c>
      <c r="C12" s="7" t="n">
        <v>0.07000000000000001</v>
      </c>
      <c r="D12" t="inlineStr"/>
      <c r="E12" s="5" t="inlineStr">
        <is>
          <t>Nominal discount rate for NPV</t>
        </is>
      </c>
    </row>
    <row r="13">
      <c r="B13" s="3" t="inlineStr">
        <is>
          <t>Ownership Type</t>
        </is>
      </c>
      <c r="C13" s="4" t="inlineStr">
        <is>
          <t>Utility</t>
        </is>
      </c>
      <c r="D13" t="inlineStr"/>
      <c r="E13" s="5" t="inlineStr">
        <is>
          <t>Utility (lower WACC ~6-7%) or Merchant (~8-10%)</t>
        </is>
      </c>
    </row>
    <row r="15">
      <c r="B15" s="2" t="inlineStr">
        <is>
          <t>ASSUMPTION LIBRARY</t>
        </is>
      </c>
    </row>
    <row r="16">
      <c r="B16" s="3" t="inlineStr">
        <is>
          <t>Select Library</t>
        </is>
      </c>
      <c r="C16" s="4" t="inlineStr">
        <is>
          <t>NREL ATB 2024 - Moderate</t>
        </is>
      </c>
      <c r="E16" s="5" t="inlineStr">
        <is>
          <t>Select library to auto-populate costs and benefits</t>
        </is>
      </c>
    </row>
    <row r="18">
      <c r="B18" s="2" t="inlineStr">
        <is>
          <t>TECHNOLOGY SPECIFICATIONS</t>
        </is>
      </c>
    </row>
    <row r="19">
      <c r="B19" s="3" t="inlineStr">
        <is>
          <t>Chemistry</t>
        </is>
      </c>
      <c r="C19" s="4" t="inlineStr">
        <is>
          <t>LFP</t>
        </is>
      </c>
      <c r="E19" s="5" t="inlineStr">
        <is>
          <t>LFP, NMC, or Other</t>
        </is>
      </c>
    </row>
    <row r="20">
      <c r="B20" s="3" t="inlineStr">
        <is>
          <t>Round-Trip Efficiency (%)</t>
        </is>
      </c>
      <c r="C20" s="7" t="n">
        <v>0.85</v>
      </c>
      <c r="E20" s="5" t="inlineStr">
        <is>
          <t>AC-AC efficiency</t>
        </is>
      </c>
    </row>
    <row r="21">
      <c r="B21" s="3" t="inlineStr">
        <is>
          <t>Annual Degradation (%)</t>
        </is>
      </c>
      <c r="C21" s="7" t="n">
        <v>0.025</v>
      </c>
      <c r="E21" s="5" t="inlineStr">
        <is>
          <t>Capacity loss per year</t>
        </is>
      </c>
    </row>
    <row r="22">
      <c r="B22" s="3" t="inlineStr">
        <is>
          <t>Cycle Life</t>
        </is>
      </c>
      <c r="C22" s="4" t="n">
        <v>6000</v>
      </c>
      <c r="E22" s="5" t="inlineStr">
        <is>
          <t>Full-depth cycles before EOL</t>
        </is>
      </c>
    </row>
    <row r="23">
      <c r="B23" s="3" t="inlineStr">
        <is>
          <t>Augmentation Year</t>
        </is>
      </c>
      <c r="C23" s="4" t="n">
        <v>12</v>
      </c>
      <c r="E23" s="5" t="inlineStr">
        <is>
          <t>Year of battery replacement</t>
        </is>
      </c>
    </row>
    <row r="25">
      <c r="B25" s="2" t="inlineStr">
        <is>
          <t>COST INPUTS</t>
        </is>
      </c>
    </row>
    <row r="26">
      <c r="B26" s="3" t="inlineStr">
        <is>
          <t>CapEx ($/kWh)</t>
        </is>
      </c>
      <c r="C26" s="8" t="n">
        <v>160</v>
      </c>
      <c r="D26" t="inlineStr">
        <is>
          <t>$/kWh</t>
        </is>
      </c>
      <c r="E26" s="5" t="inlineStr">
        <is>
          <t>Installed capital cost per kWh</t>
        </is>
      </c>
    </row>
    <row r="27">
      <c r="B27" s="3" t="inlineStr">
        <is>
          <t>Fixed O&amp;M ($/kW-year)</t>
        </is>
      </c>
      <c r="C27" s="8" t="n">
        <v>25</v>
      </c>
      <c r="D27" t="inlineStr">
        <is>
          <t>$/kW-yr</t>
        </is>
      </c>
      <c r="E27" s="5" t="inlineStr">
        <is>
          <t>Annual fixed O&amp;M</t>
        </is>
      </c>
    </row>
    <row r="28">
      <c r="B28" s="3" t="inlineStr">
        <is>
          <t>Variable O&amp;M ($/MWh)</t>
        </is>
      </c>
      <c r="C28" s="8" t="n">
        <v>0</v>
      </c>
      <c r="D28" t="inlineStr">
        <is>
          <t>$/MWh</t>
        </is>
      </c>
      <c r="E28" s="5" t="inlineStr">
        <is>
          <t>Per-MWh discharge cost</t>
        </is>
      </c>
    </row>
    <row r="29">
      <c r="B29" s="3" t="inlineStr">
        <is>
          <t>Augmentation Cost ($/kWh)</t>
        </is>
      </c>
      <c r="C29" s="8" t="n">
        <v>55</v>
      </c>
      <c r="D29" t="inlineStr">
        <is>
          <t>$/kWh</t>
        </is>
      </c>
      <c r="E29" s="5" t="inlineStr">
        <is>
          <t>Battery replacement cost</t>
        </is>
      </c>
    </row>
    <row r="30">
      <c r="B30" s="3" t="inlineStr">
        <is>
          <t>Decommissioning ($/kW)</t>
        </is>
      </c>
      <c r="C30" s="8" t="n">
        <v>10</v>
      </c>
      <c r="D30" t="inlineStr">
        <is>
          <t>$/kW</t>
        </is>
      </c>
      <c r="E30" s="5" t="inlineStr">
        <is>
          <t>End-of-life cost</t>
        </is>
      </c>
    </row>
    <row r="32">
      <c r="B32" s="2" t="inlineStr">
        <is>
          <t>TAX CREDITS (BESS-Specific under IRA)</t>
        </is>
      </c>
    </row>
    <row r="33">
      <c r="B33" s="3" t="inlineStr">
        <is>
          <t>ITC Base Rate (%)</t>
        </is>
      </c>
      <c r="C33" s="7" t="n">
        <v>0.3</v>
      </c>
      <c r="E33" s="5" t="inlineStr">
        <is>
          <t>30% Investment Tax Credit under IRA</t>
        </is>
      </c>
    </row>
    <row r="34">
      <c r="B34" s="3" t="inlineStr">
        <is>
          <t>ITC Adders (%)</t>
        </is>
      </c>
      <c r="C34" s="7" t="n">
        <v>0</v>
      </c>
      <c r="E34" s="5" t="inlineStr">
        <is>
          <t>Energy community +10%, Domestic content +10%</t>
        </is>
      </c>
    </row>
    <row r="36">
      <c r="B36" s="2" t="inlineStr">
        <is>
          <t>INFRASTRUCTURE COSTS (Common to all projects)</t>
        </is>
      </c>
    </row>
    <row r="37">
      <c r="B37" s="3" t="inlineStr">
        <is>
          <t>Interconnection ($/kW)</t>
        </is>
      </c>
      <c r="C37" s="8" t="n">
        <v>100</v>
      </c>
      <c r="E37" s="5" t="inlineStr">
        <is>
          <t>Network upgrades, studies</t>
        </is>
      </c>
    </row>
    <row r="38">
      <c r="B38" s="3" t="inlineStr">
        <is>
          <t>Land ($/kW)</t>
        </is>
      </c>
      <c r="C38" s="8" t="n">
        <v>10</v>
      </c>
      <c r="E38" s="5" t="inlineStr">
        <is>
          <t>Site acquisition/lease</t>
        </is>
      </c>
    </row>
    <row r="39">
      <c r="B39" s="3" t="inlineStr">
        <is>
          <t>Permitting ($/kW)</t>
        </is>
      </c>
      <c r="C39" s="8" t="n">
        <v>15</v>
      </c>
      <c r="E39" s="5" t="inlineStr">
        <is>
          <t>Permits, environmental review</t>
        </is>
      </c>
    </row>
    <row r="40">
      <c r="B40" s="3" t="inlineStr">
        <is>
          <t>Insurance (% of CapEx)</t>
        </is>
      </c>
      <c r="C40" s="9" t="n">
        <v>0.005</v>
      </c>
      <c r="E40" s="5" t="inlineStr">
        <is>
          <t>Annual insurance cost</t>
        </is>
      </c>
    </row>
    <row r="41">
      <c r="B41" s="3" t="inlineStr">
        <is>
          <t>Property Tax (%)</t>
        </is>
      </c>
      <c r="C41" s="9" t="n">
        <v>0.01</v>
      </c>
      <c r="E41" s="5" t="inlineStr">
        <is>
          <t>Annual property tax rate</t>
        </is>
      </c>
    </row>
    <row r="43">
      <c r="B43" s="2" t="inlineStr">
        <is>
          <t>BENEFIT STREAMS (Year 1 Values)</t>
        </is>
      </c>
    </row>
    <row r="44">
      <c r="B44" s="10" t="inlineStr">
        <is>
          <t>Benefit Category</t>
        </is>
      </c>
      <c r="C44" s="10" t="inlineStr">
        <is>
          <t>$/kW-year</t>
        </is>
      </c>
      <c r="D44" s="10" t="inlineStr">
        <is>
          <t>Escalation %</t>
        </is>
      </c>
      <c r="E44" s="10" t="inlineStr">
        <is>
          <t>Citation</t>
        </is>
      </c>
    </row>
    <row r="45">
      <c r="B45" t="inlineStr">
        <is>
          <t>Resource Adequacy</t>
        </is>
      </c>
      <c r="C45" s="11" t="n">
        <v>150</v>
      </c>
      <c r="D45" s="7" t="n">
        <v>0.02</v>
      </c>
      <c r="E45" t="inlineStr">
        <is>
          <t>[common] CPUC RA Report 2024</t>
        </is>
      </c>
    </row>
    <row r="46">
      <c r="B46" t="inlineStr">
        <is>
          <t>Energy Arbitrage</t>
        </is>
      </c>
      <c r="C46" s="11" t="n">
        <v>40</v>
      </c>
      <c r="D46" s="7" t="n">
        <v>0.015</v>
      </c>
      <c r="E46" t="inlineStr">
        <is>
          <t>[common] CAISO Market Data 2024</t>
        </is>
      </c>
    </row>
    <row r="47">
      <c r="B47" t="inlineStr">
        <is>
          <t>Ancillary Services</t>
        </is>
      </c>
      <c r="C47" s="11" t="n">
        <v>15</v>
      </c>
      <c r="D47" s="7" t="n">
        <v>0.01</v>
      </c>
      <c r="E47" t="inlineStr">
        <is>
          <t>[common] CAISO AS Reports 2024</t>
        </is>
      </c>
    </row>
    <row r="48">
      <c r="B48" t="inlineStr">
        <is>
          <t>T&amp;D Deferral</t>
        </is>
      </c>
      <c r="C48" s="11" t="n">
        <v>25</v>
      </c>
      <c r="D48" s="7" t="n">
        <v>0.02</v>
      </c>
      <c r="E48" t="inlineStr">
        <is>
          <t>[common] CPUC Avoided Cost Calculator 2024</t>
        </is>
      </c>
    </row>
    <row r="49">
      <c r="B49" t="inlineStr">
        <is>
          <t>Resilience Value</t>
        </is>
      </c>
      <c r="C49" s="11" t="n">
        <v>50</v>
      </c>
      <c r="D49" s="7" t="n">
        <v>0.02</v>
      </c>
      <c r="E49" t="inlineStr">
        <is>
          <t>[common] LBNL ICE Calculator 2024</t>
        </is>
      </c>
    </row>
    <row r="50">
      <c r="B50" t="inlineStr">
        <is>
          <t>Renewable Integration</t>
        </is>
      </c>
      <c r="C50" s="11" t="n">
        <v>25</v>
      </c>
      <c r="D50" s="7" t="n">
        <v>0.02</v>
      </c>
      <c r="E50" t="inlineStr">
        <is>
          <t>[bess_specific] NREL Grid Integration Studies</t>
        </is>
      </c>
    </row>
    <row r="51">
      <c r="B51" t="inlineStr">
        <is>
          <t>GHG Emissions Value</t>
        </is>
      </c>
      <c r="C51" s="11" t="n">
        <v>15</v>
      </c>
      <c r="D51" s="7" t="n">
        <v>0.03</v>
      </c>
      <c r="E51" t="inlineStr">
        <is>
          <t>[bess_specific] EPA Social Cost of Carbon 2024</t>
        </is>
      </c>
    </row>
    <row r="52">
      <c r="B52" t="inlineStr">
        <is>
          <t>Voltage Support</t>
        </is>
      </c>
      <c r="C52" s="11" t="n">
        <v>8</v>
      </c>
      <c r="D52" s="7" t="n">
        <v>0.01</v>
      </c>
      <c r="E52" t="inlineStr">
        <is>
          <t>[common] EPRI Distribution Studies</t>
        </is>
      </c>
    </row>
    <row r="54">
      <c r="B54" s="2" t="inlineStr">
        <is>
          <t>COST PROJECTIONS (Learning Curve)</t>
        </is>
      </c>
    </row>
    <row r="55">
      <c r="B55" s="3" t="inlineStr">
        <is>
          <t>Annual Cost Decline Rate</t>
        </is>
      </c>
      <c r="C55" s="7" t="n">
        <v>0.1</v>
      </c>
      <c r="E55" s="5" t="inlineStr">
        <is>
          <t>Technology learning rate (10-15% typical for batteries)</t>
        </is>
      </c>
    </row>
    <row r="56">
      <c r="B56" s="3" t="inlineStr">
        <is>
          <t>Cost Base Year</t>
        </is>
      </c>
      <c r="C56" s="4" t="n">
        <v>2024</v>
      </c>
      <c r="E56" s="5" t="inlineStr">
        <is>
          <t>Reference year for base costs</t>
        </is>
      </c>
    </row>
    <row r="58">
      <c r="B58" s="2" t="inlineStr">
        <is>
          <t>FUTURE COST PROJECTIONS</t>
        </is>
      </c>
    </row>
    <row r="59">
      <c r="B59" s="10" t="inlineStr">
        <is>
          <t>Year</t>
        </is>
      </c>
      <c r="C59" s="10" t="inlineStr">
        <is>
          <t>Projected CapEx ($/kWh)</t>
        </is>
      </c>
      <c r="D59" s="10" t="inlineStr">
        <is>
          <t>Augmentation Cost ($/kWh)</t>
        </is>
      </c>
      <c r="E59" s="10" t="inlineStr">
        <is>
          <t>% of Today's Cost</t>
        </is>
      </c>
    </row>
    <row r="60">
      <c r="B60">
        <f>C56+0</f>
        <v/>
      </c>
      <c r="C60" s="12">
        <f>C24*(1-$C$55)^0</f>
        <v/>
      </c>
      <c r="D60" s="12">
        <f>C27*(1-$C$55)^0</f>
        <v/>
      </c>
      <c r="E60" s="13">
        <f>(1-$C$55)^0</f>
        <v/>
      </c>
    </row>
    <row r="61">
      <c r="B61">
        <f>C56+5</f>
        <v/>
      </c>
      <c r="C61" s="12">
        <f>C24*(1-$C$55)^5</f>
        <v/>
      </c>
      <c r="D61" s="12">
        <f>C27*(1-$C$55)^5</f>
        <v/>
      </c>
      <c r="E61" s="13">
        <f>(1-$C$55)^5</f>
        <v/>
      </c>
    </row>
    <row r="62">
      <c r="B62">
        <f>C56+10</f>
        <v/>
      </c>
      <c r="C62" s="12">
        <f>C24*(1-$C$55)^10</f>
        <v/>
      </c>
      <c r="D62" s="12">
        <f>C27*(1-$C$55)^10</f>
        <v/>
      </c>
      <c r="E62" s="13">
        <f>(1-$C$55)^10</f>
        <v/>
      </c>
    </row>
    <row r="63">
      <c r="B63">
        <f>C56+12</f>
        <v/>
      </c>
      <c r="C63" s="12">
        <f>C24*(1-$C$55)^12</f>
        <v/>
      </c>
      <c r="D63" s="12">
        <f>C27*(1-$C$55)^12</f>
        <v/>
      </c>
      <c r="E63" s="13">
        <f>(1-$C$55)^12</f>
        <v/>
      </c>
    </row>
    <row r="64">
      <c r="B64">
        <f>C56+15</f>
        <v/>
      </c>
      <c r="C64" s="12">
        <f>C24*(1-$C$55)^15</f>
        <v/>
      </c>
      <c r="D64" s="12">
        <f>C27*(1-$C$55)^15</f>
        <v/>
      </c>
      <c r="E64" s="13">
        <f>(1-$C$55)^15</f>
        <v/>
      </c>
    </row>
    <row r="65">
      <c r="B65">
        <f>C56+20</f>
        <v/>
      </c>
      <c r="C65" s="12">
        <f>C24*(1-$C$55)^20</f>
        <v/>
      </c>
      <c r="D65" s="12">
        <f>C27*(1-$C$55)^20</f>
        <v/>
      </c>
      <c r="E65" s="13">
        <f>(1-$C$55)^20</f>
        <v/>
      </c>
    </row>
  </sheetData>
  <mergeCells count="10">
    <mergeCell ref="B18:E18"/>
    <mergeCell ref="B4:E4"/>
    <mergeCell ref="B43:E43"/>
    <mergeCell ref="B58:E58"/>
    <mergeCell ref="B54:E54"/>
    <mergeCell ref="B15:E15"/>
    <mergeCell ref="B25:E25"/>
    <mergeCell ref="B2:E2"/>
    <mergeCell ref="B36:E36"/>
    <mergeCell ref="B32:E32"/>
  </mergeCells>
  <dataValidations count="1">
    <dataValidation sqref="C16" showDropDown="0" showInputMessage="0" showErrorMessage="0" allowBlank="0" error="Please select a valid library" prompt="Choose an assumption library" type="list">
      <formula1>"NREL ATB 2024 - Moderate,Lazard LCOS 2025,CPUC California 2024,Custom"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6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20" customWidth="1" min="3" max="3"/>
    <col width="15" customWidth="1" min="4" max="4"/>
    <col width="35" customWidth="1" min="5" max="5"/>
  </cols>
  <sheetData>
    <row r="2">
      <c r="B2" s="14" t="inlineStr">
        <is>
          <t>BESS Economic Analysis Results</t>
        </is>
      </c>
    </row>
    <row r="4">
      <c r="B4" s="2" t="inlineStr">
        <is>
          <t>PROJECT SUMMARY</t>
        </is>
      </c>
    </row>
    <row r="5">
      <c r="B5" s="3" t="inlineStr">
        <is>
          <t>Project</t>
        </is>
      </c>
      <c r="C5">
        <f>Inputs!C5</f>
        <v/>
      </c>
    </row>
    <row r="6">
      <c r="B6" s="3" t="inlineStr">
        <is>
          <t>Location</t>
        </is>
      </c>
      <c r="C6">
        <f>Inputs!C7</f>
        <v/>
      </c>
    </row>
    <row r="7">
      <c r="B7" s="3" t="inlineStr">
        <is>
          <t>Capacity</t>
        </is>
      </c>
      <c r="C7">
        <f>Inputs!C8&amp;" MW / "&amp;Inputs!C10&amp;" MWh"</f>
        <v/>
      </c>
    </row>
    <row r="8">
      <c r="B8" s="3" t="inlineStr">
        <is>
          <t>Total Investment</t>
        </is>
      </c>
      <c r="C8" s="15">
        <f>Calculations!C7</f>
        <v/>
      </c>
    </row>
    <row r="10">
      <c r="B10" s="2" t="inlineStr">
        <is>
          <t>KEY FINANCIAL METRICS</t>
        </is>
      </c>
    </row>
    <row r="11">
      <c r="B11" s="3" t="inlineStr">
        <is>
          <t>Benefit-Cost Ratio (BCR)</t>
        </is>
      </c>
      <c r="C11" s="16">
        <f>Cash_Flows!Q27/Cash_Flows!P27</f>
        <v/>
      </c>
      <c r="E11" s="5" t="inlineStr">
        <is>
          <t>BCR ≥ 1.0 indicates benefits exceed costs</t>
        </is>
      </c>
    </row>
    <row r="12">
      <c r="B12" s="3" t="inlineStr">
        <is>
          <t>Net Present Value (NPV)</t>
        </is>
      </c>
      <c r="C12" s="16">
        <f>Cash_Flows!Q27-Cash_Flows!P27</f>
        <v/>
      </c>
      <c r="E12" s="5" t="inlineStr">
        <is>
          <t>Positive NPV indicates value creation</t>
        </is>
      </c>
    </row>
    <row r="13">
      <c r="B13" s="3" t="inlineStr">
        <is>
          <t>Internal Rate of Return (IRR)</t>
        </is>
      </c>
      <c r="C13" s="16">
        <f>IRR(Cash_Flows!N5:N25)</f>
        <v/>
      </c>
      <c r="E13" s="5" t="inlineStr">
        <is>
          <t>Rate where NPV = 0</t>
        </is>
      </c>
    </row>
    <row r="14">
      <c r="B14" s="3" t="inlineStr">
        <is>
          <t>Simple Payback (years)</t>
        </is>
      </c>
      <c r="C14" s="16">
        <f>MATCH(TRUE,Cash_Flows!R5:R25&gt;0,0)-1</f>
        <v/>
      </c>
      <c r="E14" s="5" t="inlineStr">
        <is>
          <t>Year when cumulative CF turns positive</t>
        </is>
      </c>
    </row>
    <row r="15">
      <c r="B15" s="3" t="inlineStr">
        <is>
          <t>PV of Total Costs</t>
        </is>
      </c>
      <c r="C15" s="16">
        <f>Cash_Flows!P27</f>
        <v/>
      </c>
      <c r="E15" s="5" t="inlineStr">
        <is>
          <t>Present value of all costs</t>
        </is>
      </c>
    </row>
    <row r="16">
      <c r="B16" s="3" t="inlineStr">
        <is>
          <t>PV of Total Benefits</t>
        </is>
      </c>
      <c r="C16" s="16">
        <f>Cash_Flows!Q27</f>
        <v/>
      </c>
      <c r="E16" s="5" t="inlineStr">
        <is>
          <t>Present value of all benefits</t>
        </is>
      </c>
    </row>
    <row r="19">
      <c r="B19" s="2" t="inlineStr">
        <is>
          <t>RECOMMENDATION</t>
        </is>
      </c>
    </row>
    <row r="20">
      <c r="B20" s="17">
        <f>IF(C11&gt;=1.5,"APPROVE - Strong economic case",IF(C11&gt;=1,"FURTHER STUDY - Marginal economics","REJECT - Costs exceed benefits"))</f>
        <v/>
      </c>
    </row>
    <row r="22">
      <c r="B22" s="2" t="inlineStr">
        <is>
          <t>LEVELIZED COST OF STORAGE (LCOS)</t>
        </is>
      </c>
    </row>
    <row r="23">
      <c r="B23" s="3" t="inlineStr">
        <is>
          <t>LCOS ($/MWh)</t>
        </is>
      </c>
      <c r="C23" s="16">
        <f>Cash_Flows!P27/(Calculations!C13*NPV(Inputs!C12,INDIRECT("Cash_Flows!O5:O25")))</f>
        <v/>
      </c>
      <c r="E23" t="inlineStr">
        <is>
          <t>Levelized cost per MWh discharged (Lazard methodology)</t>
        </is>
      </c>
    </row>
    <row r="25">
      <c r="B25" s="2" t="inlineStr">
        <is>
          <t>BREAKEVEN ANALYSIS</t>
        </is>
      </c>
    </row>
    <row r="26">
      <c r="B26" s="3" t="inlineStr">
        <is>
          <t>Breakeven CapEx ($/kWh)</t>
        </is>
      </c>
      <c r="C26" s="16">
        <f>(Cash_Flows!Q27-(Cash_Flows!P27-Calculations!C7))/(Inputs!C10*1000)</f>
        <v/>
      </c>
      <c r="E26" t="inlineStr">
        <is>
          <t>Maximum CapEx for BCR = 1.0</t>
        </is>
      </c>
    </row>
  </sheetData>
  <mergeCells count="7">
    <mergeCell ref="B4:E4"/>
    <mergeCell ref="B25:E25"/>
    <mergeCell ref="B19:E19"/>
    <mergeCell ref="B20:E20"/>
    <mergeCell ref="B2:E2"/>
    <mergeCell ref="B10:E10"/>
    <mergeCell ref="B22:E22"/>
  </mergeCells>
  <conditionalFormatting sqref="C11">
    <cfRule type="expression" priority="1" dxfId="0">
      <formula>C11&gt;=1.5</formula>
    </cfRule>
    <cfRule type="expression" priority="2" dxfId="1">
      <formula>AND(C11&gt;=1,C11&lt;1.5)</formula>
    </cfRule>
    <cfRule type="expression" priority="3" dxfId="2">
      <formula>C11&lt;1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R27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2">
      <c r="B2" s="18" t="inlineStr">
        <is>
          <t>Annual Cash Flow Projections</t>
        </is>
      </c>
    </row>
    <row r="4">
      <c r="B4" s="10" t="inlineStr">
        <is>
          <t>Year</t>
        </is>
      </c>
      <c r="C4" s="10" t="inlineStr">
        <is>
          <t>CapEx</t>
        </is>
      </c>
      <c r="D4" s="10" t="inlineStr">
        <is>
          <t>Fixed O&amp;M</t>
        </is>
      </c>
      <c r="E4" s="10" t="inlineStr">
        <is>
          <t>Var O&amp;M</t>
        </is>
      </c>
      <c r="F4" s="10" t="inlineStr">
        <is>
          <t>Augmentation</t>
        </is>
      </c>
      <c r="G4" s="10" t="inlineStr">
        <is>
          <t>Decommission</t>
        </is>
      </c>
      <c r="H4" s="10" t="inlineStr">
        <is>
          <t>Total Costs</t>
        </is>
      </c>
      <c r="I4" s="10" t="inlineStr">
        <is>
          <t>RA Benefit</t>
        </is>
      </c>
      <c r="J4" s="10" t="inlineStr">
        <is>
          <t>Arbitrage</t>
        </is>
      </c>
      <c r="K4" s="10" t="inlineStr">
        <is>
          <t>Ancillary</t>
        </is>
      </c>
      <c r="L4" s="10" t="inlineStr">
        <is>
          <t>T&amp;D Defer</t>
        </is>
      </c>
      <c r="M4" s="10" t="inlineStr">
        <is>
          <t>Total Benefits</t>
        </is>
      </c>
      <c r="N4" s="10" t="inlineStr">
        <is>
          <t>Net Cash Flow</t>
        </is>
      </c>
      <c r="O4" s="10" t="inlineStr">
        <is>
          <t>Discount Factor</t>
        </is>
      </c>
      <c r="P4" s="10" t="inlineStr">
        <is>
          <t>PV Costs</t>
        </is>
      </c>
      <c r="Q4" s="10" t="inlineStr">
        <is>
          <t>PV Benefits</t>
        </is>
      </c>
      <c r="R4" s="10" t="inlineStr">
        <is>
          <t>Cumulative CF</t>
        </is>
      </c>
    </row>
    <row r="5">
      <c r="B5" t="n">
        <v>0</v>
      </c>
      <c r="C5" s="15">
        <f>Calculations!C7</f>
        <v/>
      </c>
      <c r="D5" s="15" t="n">
        <v>0</v>
      </c>
      <c r="E5" s="15" t="n">
        <v>0</v>
      </c>
      <c r="F5" s="15" t="n">
        <v>0</v>
      </c>
      <c r="G5" s="15" t="n">
        <v>0</v>
      </c>
      <c r="H5" s="6">
        <f>SUM(C5:G5)</f>
        <v/>
      </c>
      <c r="I5" s="15" t="n">
        <v>0</v>
      </c>
      <c r="J5" s="15" t="n">
        <v>0</v>
      </c>
      <c r="K5" s="15" t="n">
        <v>0</v>
      </c>
      <c r="L5" s="15" t="n">
        <v>0</v>
      </c>
      <c r="M5" s="6">
        <f>SUM(I5:L5)</f>
        <v/>
      </c>
      <c r="N5" s="6">
        <f>M5-H5</f>
        <v/>
      </c>
      <c r="O5" s="19">
        <f>1/(1+Inputs!$C$12)^B5</f>
        <v/>
      </c>
      <c r="P5" s="15">
        <f>H5*O5</f>
        <v/>
      </c>
      <c r="Q5" s="15">
        <f>M5*O5</f>
        <v/>
      </c>
      <c r="R5" s="15">
        <f>N5</f>
        <v/>
      </c>
    </row>
    <row r="6">
      <c r="B6" t="n">
        <v>1</v>
      </c>
      <c r="C6" s="15" t="n">
        <v>0</v>
      </c>
      <c r="D6" s="15">
        <f>Calculations!C8</f>
        <v/>
      </c>
      <c r="E6" s="15" t="n">
        <v>0</v>
      </c>
      <c r="F6" s="15" t="n">
        <v>0</v>
      </c>
      <c r="G6" s="15" t="n">
        <v>0</v>
      </c>
      <c r="H6" s="6">
        <f>SUM(C6:G6)</f>
        <v/>
      </c>
      <c r="I6" s="15">
        <f>Inputs!$C$32*Inputs!$C$8*1000*(1+Inputs!$D$32)^0*(1-Inputs!$C$19)^0</f>
        <v/>
      </c>
      <c r="J6" s="15">
        <f>Inputs!$C$33*Inputs!$C$8*1000*(1+Inputs!$D$33)^0*(1-Inputs!$C$19)^0</f>
        <v/>
      </c>
      <c r="K6" s="15">
        <f>Inputs!$C$34*Inputs!$C$8*1000*(1+Inputs!$D$34)^0*(1-Inputs!$C$19)^0</f>
        <v/>
      </c>
      <c r="L6" s="15">
        <f>Inputs!$C$35*Inputs!$C$8*1000*(1+Inputs!$D$35)^0</f>
        <v/>
      </c>
      <c r="M6" s="6">
        <f>SUM(I6:L6)</f>
        <v/>
      </c>
      <c r="N6" s="6">
        <f>M6-H6</f>
        <v/>
      </c>
      <c r="O6" s="19">
        <f>1/(1+Inputs!$C$12)^B6</f>
        <v/>
      </c>
      <c r="P6" s="15">
        <f>H6*O6</f>
        <v/>
      </c>
      <c r="Q6" s="15">
        <f>M6*O6</f>
        <v/>
      </c>
      <c r="R6" s="15">
        <f>R5+N6</f>
        <v/>
      </c>
    </row>
    <row r="7">
      <c r="B7" t="n">
        <v>2</v>
      </c>
      <c r="C7" s="15" t="n">
        <v>0</v>
      </c>
      <c r="D7" s="15">
        <f>Calculations!C8</f>
        <v/>
      </c>
      <c r="E7" s="15" t="n">
        <v>0</v>
      </c>
      <c r="F7" s="15" t="n">
        <v>0</v>
      </c>
      <c r="G7" s="15" t="n">
        <v>0</v>
      </c>
      <c r="H7" s="6">
        <f>SUM(C7:G7)</f>
        <v/>
      </c>
      <c r="I7" s="15">
        <f>Inputs!$C$32*Inputs!$C$8*1000*(1+Inputs!$D$32)^1*(1-Inputs!$C$19)^1</f>
        <v/>
      </c>
      <c r="J7" s="15">
        <f>Inputs!$C$33*Inputs!$C$8*1000*(1+Inputs!$D$33)^1*(1-Inputs!$C$19)^1</f>
        <v/>
      </c>
      <c r="K7" s="15">
        <f>Inputs!$C$34*Inputs!$C$8*1000*(1+Inputs!$D$34)^1*(1-Inputs!$C$19)^1</f>
        <v/>
      </c>
      <c r="L7" s="15">
        <f>Inputs!$C$35*Inputs!$C$8*1000*(1+Inputs!$D$35)^1</f>
        <v/>
      </c>
      <c r="M7" s="6">
        <f>SUM(I7:L7)</f>
        <v/>
      </c>
      <c r="N7" s="6">
        <f>M7-H7</f>
        <v/>
      </c>
      <c r="O7" s="19">
        <f>1/(1+Inputs!$C$12)^B7</f>
        <v/>
      </c>
      <c r="P7" s="15">
        <f>H7*O7</f>
        <v/>
      </c>
      <c r="Q7" s="15">
        <f>M7*O7</f>
        <v/>
      </c>
      <c r="R7" s="15">
        <f>R6+N7</f>
        <v/>
      </c>
    </row>
    <row r="8">
      <c r="B8" t="n">
        <v>3</v>
      </c>
      <c r="C8" s="15" t="n">
        <v>0</v>
      </c>
      <c r="D8" s="15">
        <f>Calculations!C8</f>
        <v/>
      </c>
      <c r="E8" s="15" t="n">
        <v>0</v>
      </c>
      <c r="F8" s="15" t="n">
        <v>0</v>
      </c>
      <c r="G8" s="15" t="n">
        <v>0</v>
      </c>
      <c r="H8" s="6">
        <f>SUM(C8:G8)</f>
        <v/>
      </c>
      <c r="I8" s="15">
        <f>Inputs!$C$32*Inputs!$C$8*1000*(1+Inputs!$D$32)^2*(1-Inputs!$C$19)^2</f>
        <v/>
      </c>
      <c r="J8" s="15">
        <f>Inputs!$C$33*Inputs!$C$8*1000*(1+Inputs!$D$33)^2*(1-Inputs!$C$19)^2</f>
        <v/>
      </c>
      <c r="K8" s="15">
        <f>Inputs!$C$34*Inputs!$C$8*1000*(1+Inputs!$D$34)^2*(1-Inputs!$C$19)^2</f>
        <v/>
      </c>
      <c r="L8" s="15">
        <f>Inputs!$C$35*Inputs!$C$8*1000*(1+Inputs!$D$35)^2</f>
        <v/>
      </c>
      <c r="M8" s="6">
        <f>SUM(I8:L8)</f>
        <v/>
      </c>
      <c r="N8" s="6">
        <f>M8-H8</f>
        <v/>
      </c>
      <c r="O8" s="19">
        <f>1/(1+Inputs!$C$12)^B8</f>
        <v/>
      </c>
      <c r="P8" s="15">
        <f>H8*O8</f>
        <v/>
      </c>
      <c r="Q8" s="15">
        <f>M8*O8</f>
        <v/>
      </c>
      <c r="R8" s="15">
        <f>R7+N8</f>
        <v/>
      </c>
    </row>
    <row r="9">
      <c r="B9" t="n">
        <v>4</v>
      </c>
      <c r="C9" s="15" t="n">
        <v>0</v>
      </c>
      <c r="D9" s="15">
        <f>Calculations!C8</f>
        <v/>
      </c>
      <c r="E9" s="15" t="n">
        <v>0</v>
      </c>
      <c r="F9" s="15" t="n">
        <v>0</v>
      </c>
      <c r="G9" s="15" t="n">
        <v>0</v>
      </c>
      <c r="H9" s="6">
        <f>SUM(C9:G9)</f>
        <v/>
      </c>
      <c r="I9" s="15">
        <f>Inputs!$C$32*Inputs!$C$8*1000*(1+Inputs!$D$32)^3*(1-Inputs!$C$19)^3</f>
        <v/>
      </c>
      <c r="J9" s="15">
        <f>Inputs!$C$33*Inputs!$C$8*1000*(1+Inputs!$D$33)^3*(1-Inputs!$C$19)^3</f>
        <v/>
      </c>
      <c r="K9" s="15">
        <f>Inputs!$C$34*Inputs!$C$8*1000*(1+Inputs!$D$34)^3*(1-Inputs!$C$19)^3</f>
        <v/>
      </c>
      <c r="L9" s="15">
        <f>Inputs!$C$35*Inputs!$C$8*1000*(1+Inputs!$D$35)^3</f>
        <v/>
      </c>
      <c r="M9" s="6">
        <f>SUM(I9:L9)</f>
        <v/>
      </c>
      <c r="N9" s="6">
        <f>M9-H9</f>
        <v/>
      </c>
      <c r="O9" s="19">
        <f>1/(1+Inputs!$C$12)^B9</f>
        <v/>
      </c>
      <c r="P9" s="15">
        <f>H9*O9</f>
        <v/>
      </c>
      <c r="Q9" s="15">
        <f>M9*O9</f>
        <v/>
      </c>
      <c r="R9" s="15">
        <f>R8+N9</f>
        <v/>
      </c>
    </row>
    <row r="10">
      <c r="B10" t="n">
        <v>5</v>
      </c>
      <c r="C10" s="15" t="n">
        <v>0</v>
      </c>
      <c r="D10" s="15">
        <f>Calculations!C8</f>
        <v/>
      </c>
      <c r="E10" s="15" t="n">
        <v>0</v>
      </c>
      <c r="F10" s="15" t="n">
        <v>0</v>
      </c>
      <c r="G10" s="15" t="n">
        <v>0</v>
      </c>
      <c r="H10" s="6">
        <f>SUM(C10:G10)</f>
        <v/>
      </c>
      <c r="I10" s="15">
        <f>Inputs!$C$32*Inputs!$C$8*1000*(1+Inputs!$D$32)^4*(1-Inputs!$C$19)^4</f>
        <v/>
      </c>
      <c r="J10" s="15">
        <f>Inputs!$C$33*Inputs!$C$8*1000*(1+Inputs!$D$33)^4*(1-Inputs!$C$19)^4</f>
        <v/>
      </c>
      <c r="K10" s="15">
        <f>Inputs!$C$34*Inputs!$C$8*1000*(1+Inputs!$D$34)^4*(1-Inputs!$C$19)^4</f>
        <v/>
      </c>
      <c r="L10" s="15">
        <f>Inputs!$C$35*Inputs!$C$8*1000*(1+Inputs!$D$35)^4</f>
        <v/>
      </c>
      <c r="M10" s="6">
        <f>SUM(I10:L10)</f>
        <v/>
      </c>
      <c r="N10" s="6">
        <f>M10-H10</f>
        <v/>
      </c>
      <c r="O10" s="19">
        <f>1/(1+Inputs!$C$12)^B10</f>
        <v/>
      </c>
      <c r="P10" s="15">
        <f>H10*O10</f>
        <v/>
      </c>
      <c r="Q10" s="15">
        <f>M10*O10</f>
        <v/>
      </c>
      <c r="R10" s="15">
        <f>R9+N10</f>
        <v/>
      </c>
    </row>
    <row r="11">
      <c r="B11" t="n">
        <v>6</v>
      </c>
      <c r="C11" s="15" t="n">
        <v>0</v>
      </c>
      <c r="D11" s="15">
        <f>Calculations!C8</f>
        <v/>
      </c>
      <c r="E11" s="15" t="n">
        <v>0</v>
      </c>
      <c r="F11" s="15" t="n">
        <v>0</v>
      </c>
      <c r="G11" s="15" t="n">
        <v>0</v>
      </c>
      <c r="H11" s="6">
        <f>SUM(C11:G11)</f>
        <v/>
      </c>
      <c r="I11" s="15">
        <f>Inputs!$C$32*Inputs!$C$8*1000*(1+Inputs!$D$32)^5*(1-Inputs!$C$19)^5</f>
        <v/>
      </c>
      <c r="J11" s="15">
        <f>Inputs!$C$33*Inputs!$C$8*1000*(1+Inputs!$D$33)^5*(1-Inputs!$C$19)^5</f>
        <v/>
      </c>
      <c r="K11" s="15">
        <f>Inputs!$C$34*Inputs!$C$8*1000*(1+Inputs!$D$34)^5*(1-Inputs!$C$19)^5</f>
        <v/>
      </c>
      <c r="L11" s="15">
        <f>Inputs!$C$35*Inputs!$C$8*1000*(1+Inputs!$D$35)^5</f>
        <v/>
      </c>
      <c r="M11" s="6">
        <f>SUM(I11:L11)</f>
        <v/>
      </c>
      <c r="N11" s="6">
        <f>M11-H11</f>
        <v/>
      </c>
      <c r="O11" s="19">
        <f>1/(1+Inputs!$C$12)^B11</f>
        <v/>
      </c>
      <c r="P11" s="15">
        <f>H11*O11</f>
        <v/>
      </c>
      <c r="Q11" s="15">
        <f>M11*O11</f>
        <v/>
      </c>
      <c r="R11" s="15">
        <f>R10+N11</f>
        <v/>
      </c>
    </row>
    <row r="12">
      <c r="B12" t="n">
        <v>7</v>
      </c>
      <c r="C12" s="15" t="n">
        <v>0</v>
      </c>
      <c r="D12" s="15">
        <f>Calculations!C8</f>
        <v/>
      </c>
      <c r="E12" s="15" t="n">
        <v>0</v>
      </c>
      <c r="F12" s="15" t="n">
        <v>0</v>
      </c>
      <c r="G12" s="15" t="n">
        <v>0</v>
      </c>
      <c r="H12" s="6">
        <f>SUM(C12:G12)</f>
        <v/>
      </c>
      <c r="I12" s="15">
        <f>Inputs!$C$32*Inputs!$C$8*1000*(1+Inputs!$D$32)^6*(1-Inputs!$C$19)^6</f>
        <v/>
      </c>
      <c r="J12" s="15">
        <f>Inputs!$C$33*Inputs!$C$8*1000*(1+Inputs!$D$33)^6*(1-Inputs!$C$19)^6</f>
        <v/>
      </c>
      <c r="K12" s="15">
        <f>Inputs!$C$34*Inputs!$C$8*1000*(1+Inputs!$D$34)^6*(1-Inputs!$C$19)^6</f>
        <v/>
      </c>
      <c r="L12" s="15">
        <f>Inputs!$C$35*Inputs!$C$8*1000*(1+Inputs!$D$35)^6</f>
        <v/>
      </c>
      <c r="M12" s="6">
        <f>SUM(I12:L12)</f>
        <v/>
      </c>
      <c r="N12" s="6">
        <f>M12-H12</f>
        <v/>
      </c>
      <c r="O12" s="19">
        <f>1/(1+Inputs!$C$12)^B12</f>
        <v/>
      </c>
      <c r="P12" s="15">
        <f>H12*O12</f>
        <v/>
      </c>
      <c r="Q12" s="15">
        <f>M12*O12</f>
        <v/>
      </c>
      <c r="R12" s="15">
        <f>R11+N12</f>
        <v/>
      </c>
    </row>
    <row r="13">
      <c r="B13" t="n">
        <v>8</v>
      </c>
      <c r="C13" s="15" t="n">
        <v>0</v>
      </c>
      <c r="D13" s="15">
        <f>Calculations!C8</f>
        <v/>
      </c>
      <c r="E13" s="15" t="n">
        <v>0</v>
      </c>
      <c r="F13" s="15" t="n">
        <v>0</v>
      </c>
      <c r="G13" s="15" t="n">
        <v>0</v>
      </c>
      <c r="H13" s="6">
        <f>SUM(C13:G13)</f>
        <v/>
      </c>
      <c r="I13" s="15">
        <f>Inputs!$C$32*Inputs!$C$8*1000*(1+Inputs!$D$32)^7*(1-Inputs!$C$19)^7</f>
        <v/>
      </c>
      <c r="J13" s="15">
        <f>Inputs!$C$33*Inputs!$C$8*1000*(1+Inputs!$D$33)^7*(1-Inputs!$C$19)^7</f>
        <v/>
      </c>
      <c r="K13" s="15">
        <f>Inputs!$C$34*Inputs!$C$8*1000*(1+Inputs!$D$34)^7*(1-Inputs!$C$19)^7</f>
        <v/>
      </c>
      <c r="L13" s="15">
        <f>Inputs!$C$35*Inputs!$C$8*1000*(1+Inputs!$D$35)^7</f>
        <v/>
      </c>
      <c r="M13" s="6">
        <f>SUM(I13:L13)</f>
        <v/>
      </c>
      <c r="N13" s="6">
        <f>M13-H13</f>
        <v/>
      </c>
      <c r="O13" s="19">
        <f>1/(1+Inputs!$C$12)^B13</f>
        <v/>
      </c>
      <c r="P13" s="15">
        <f>H13*O13</f>
        <v/>
      </c>
      <c r="Q13" s="15">
        <f>M13*O13</f>
        <v/>
      </c>
      <c r="R13" s="15">
        <f>R12+N13</f>
        <v/>
      </c>
    </row>
    <row r="14">
      <c r="B14" t="n">
        <v>9</v>
      </c>
      <c r="C14" s="15" t="n">
        <v>0</v>
      </c>
      <c r="D14" s="15">
        <f>Calculations!C8</f>
        <v/>
      </c>
      <c r="E14" s="15" t="n">
        <v>0</v>
      </c>
      <c r="F14" s="15" t="n">
        <v>0</v>
      </c>
      <c r="G14" s="15" t="n">
        <v>0</v>
      </c>
      <c r="H14" s="6">
        <f>SUM(C14:G14)</f>
        <v/>
      </c>
      <c r="I14" s="15">
        <f>Inputs!$C$32*Inputs!$C$8*1000*(1+Inputs!$D$32)^8*(1-Inputs!$C$19)^8</f>
        <v/>
      </c>
      <c r="J14" s="15">
        <f>Inputs!$C$33*Inputs!$C$8*1000*(1+Inputs!$D$33)^8*(1-Inputs!$C$19)^8</f>
        <v/>
      </c>
      <c r="K14" s="15">
        <f>Inputs!$C$34*Inputs!$C$8*1000*(1+Inputs!$D$34)^8*(1-Inputs!$C$19)^8</f>
        <v/>
      </c>
      <c r="L14" s="15">
        <f>Inputs!$C$35*Inputs!$C$8*1000*(1+Inputs!$D$35)^8</f>
        <v/>
      </c>
      <c r="M14" s="6">
        <f>SUM(I14:L14)</f>
        <v/>
      </c>
      <c r="N14" s="6">
        <f>M14-H14</f>
        <v/>
      </c>
      <c r="O14" s="19">
        <f>1/(1+Inputs!$C$12)^B14</f>
        <v/>
      </c>
      <c r="P14" s="15">
        <f>H14*O14</f>
        <v/>
      </c>
      <c r="Q14" s="15">
        <f>M14*O14</f>
        <v/>
      </c>
      <c r="R14" s="15">
        <f>R13+N14</f>
        <v/>
      </c>
    </row>
    <row r="15">
      <c r="B15" t="n">
        <v>10</v>
      </c>
      <c r="C15" s="15" t="n">
        <v>0</v>
      </c>
      <c r="D15" s="15">
        <f>Calculations!C8</f>
        <v/>
      </c>
      <c r="E15" s="15" t="n">
        <v>0</v>
      </c>
      <c r="F15" s="15" t="n">
        <v>0</v>
      </c>
      <c r="G15" s="15" t="n">
        <v>0</v>
      </c>
      <c r="H15" s="6">
        <f>SUM(C15:G15)</f>
        <v/>
      </c>
      <c r="I15" s="15">
        <f>Inputs!$C$32*Inputs!$C$8*1000*(1+Inputs!$D$32)^9*(1-Inputs!$C$19)^9</f>
        <v/>
      </c>
      <c r="J15" s="15">
        <f>Inputs!$C$33*Inputs!$C$8*1000*(1+Inputs!$D$33)^9*(1-Inputs!$C$19)^9</f>
        <v/>
      </c>
      <c r="K15" s="15">
        <f>Inputs!$C$34*Inputs!$C$8*1000*(1+Inputs!$D$34)^9*(1-Inputs!$C$19)^9</f>
        <v/>
      </c>
      <c r="L15" s="15">
        <f>Inputs!$C$35*Inputs!$C$8*1000*(1+Inputs!$D$35)^9</f>
        <v/>
      </c>
      <c r="M15" s="6">
        <f>SUM(I15:L15)</f>
        <v/>
      </c>
      <c r="N15" s="6">
        <f>M15-H15</f>
        <v/>
      </c>
      <c r="O15" s="19">
        <f>1/(1+Inputs!$C$12)^B15</f>
        <v/>
      </c>
      <c r="P15" s="15">
        <f>H15*O15</f>
        <v/>
      </c>
      <c r="Q15" s="15">
        <f>M15*O15</f>
        <v/>
      </c>
      <c r="R15" s="15">
        <f>R14+N15</f>
        <v/>
      </c>
    </row>
    <row r="16">
      <c r="B16" t="n">
        <v>11</v>
      </c>
      <c r="C16" s="15" t="n">
        <v>0</v>
      </c>
      <c r="D16" s="15">
        <f>Calculations!C8</f>
        <v/>
      </c>
      <c r="E16" s="15" t="n">
        <v>0</v>
      </c>
      <c r="F16" s="15" t="n">
        <v>0</v>
      </c>
      <c r="G16" s="15" t="n">
        <v>0</v>
      </c>
      <c r="H16" s="6">
        <f>SUM(C16:G16)</f>
        <v/>
      </c>
      <c r="I16" s="15">
        <f>Inputs!$C$32*Inputs!$C$8*1000*(1+Inputs!$D$32)^10*(1-Inputs!$C$19)^10</f>
        <v/>
      </c>
      <c r="J16" s="15">
        <f>Inputs!$C$33*Inputs!$C$8*1000*(1+Inputs!$D$33)^10*(1-Inputs!$C$19)^10</f>
        <v/>
      </c>
      <c r="K16" s="15">
        <f>Inputs!$C$34*Inputs!$C$8*1000*(1+Inputs!$D$34)^10*(1-Inputs!$C$19)^10</f>
        <v/>
      </c>
      <c r="L16" s="15">
        <f>Inputs!$C$35*Inputs!$C$8*1000*(1+Inputs!$D$35)^10</f>
        <v/>
      </c>
      <c r="M16" s="6">
        <f>SUM(I16:L16)</f>
        <v/>
      </c>
      <c r="N16" s="6">
        <f>M16-H16</f>
        <v/>
      </c>
      <c r="O16" s="19">
        <f>1/(1+Inputs!$C$12)^B16</f>
        <v/>
      </c>
      <c r="P16" s="15">
        <f>H16*O16</f>
        <v/>
      </c>
      <c r="Q16" s="15">
        <f>M16*O16</f>
        <v/>
      </c>
      <c r="R16" s="15">
        <f>R15+N16</f>
        <v/>
      </c>
    </row>
    <row r="17">
      <c r="B17" t="n">
        <v>12</v>
      </c>
      <c r="C17" s="15" t="n">
        <v>0</v>
      </c>
      <c r="D17" s="15">
        <f>Calculations!C8</f>
        <v/>
      </c>
      <c r="E17" s="15" t="n">
        <v>0</v>
      </c>
      <c r="F17" s="15">
        <f>Calculations!C9*(1-Inputs!$C$39)^12</f>
        <v/>
      </c>
      <c r="G17" s="15" t="n">
        <v>0</v>
      </c>
      <c r="H17" s="6">
        <f>SUM(C17:G17)</f>
        <v/>
      </c>
      <c r="I17" s="15">
        <f>Inputs!$C$32*Inputs!$C$8*1000*(1+Inputs!$D$32)^11*(1-Inputs!$C$19)^11</f>
        <v/>
      </c>
      <c r="J17" s="15">
        <f>Inputs!$C$33*Inputs!$C$8*1000*(1+Inputs!$D$33)^11*(1-Inputs!$C$19)^11</f>
        <v/>
      </c>
      <c r="K17" s="15">
        <f>Inputs!$C$34*Inputs!$C$8*1000*(1+Inputs!$D$34)^11*(1-Inputs!$C$19)^11</f>
        <v/>
      </c>
      <c r="L17" s="15">
        <f>Inputs!$C$35*Inputs!$C$8*1000*(1+Inputs!$D$35)^11</f>
        <v/>
      </c>
      <c r="M17" s="6">
        <f>SUM(I17:L17)</f>
        <v/>
      </c>
      <c r="N17" s="6">
        <f>M17-H17</f>
        <v/>
      </c>
      <c r="O17" s="19">
        <f>1/(1+Inputs!$C$12)^B17</f>
        <v/>
      </c>
      <c r="P17" s="15">
        <f>H17*O17</f>
        <v/>
      </c>
      <c r="Q17" s="15">
        <f>M17*O17</f>
        <v/>
      </c>
      <c r="R17" s="15">
        <f>R16+N17</f>
        <v/>
      </c>
    </row>
    <row r="18">
      <c r="B18" t="n">
        <v>13</v>
      </c>
      <c r="C18" s="15" t="n">
        <v>0</v>
      </c>
      <c r="D18" s="15">
        <f>Calculations!C8</f>
        <v/>
      </c>
      <c r="E18" s="15" t="n">
        <v>0</v>
      </c>
      <c r="F18" s="15" t="n">
        <v>0</v>
      </c>
      <c r="G18" s="15" t="n">
        <v>0</v>
      </c>
      <c r="H18" s="6">
        <f>SUM(C18:G18)</f>
        <v/>
      </c>
      <c r="I18" s="15">
        <f>Inputs!$C$32*Inputs!$C$8*1000*(1+Inputs!$D$32)^12*(1-Inputs!$C$19)^12</f>
        <v/>
      </c>
      <c r="J18" s="15">
        <f>Inputs!$C$33*Inputs!$C$8*1000*(1+Inputs!$D$33)^12*(1-Inputs!$C$19)^12</f>
        <v/>
      </c>
      <c r="K18" s="15">
        <f>Inputs!$C$34*Inputs!$C$8*1000*(1+Inputs!$D$34)^12*(1-Inputs!$C$19)^12</f>
        <v/>
      </c>
      <c r="L18" s="15">
        <f>Inputs!$C$35*Inputs!$C$8*1000*(1+Inputs!$D$35)^12</f>
        <v/>
      </c>
      <c r="M18" s="6">
        <f>SUM(I18:L18)</f>
        <v/>
      </c>
      <c r="N18" s="6">
        <f>M18-H18</f>
        <v/>
      </c>
      <c r="O18" s="19">
        <f>1/(1+Inputs!$C$12)^B18</f>
        <v/>
      </c>
      <c r="P18" s="15">
        <f>H18*O18</f>
        <v/>
      </c>
      <c r="Q18" s="15">
        <f>M18*O18</f>
        <v/>
      </c>
      <c r="R18" s="15">
        <f>R17+N18</f>
        <v/>
      </c>
    </row>
    <row r="19">
      <c r="B19" t="n">
        <v>14</v>
      </c>
      <c r="C19" s="15" t="n">
        <v>0</v>
      </c>
      <c r="D19" s="15">
        <f>Calculations!C8</f>
        <v/>
      </c>
      <c r="E19" s="15" t="n">
        <v>0</v>
      </c>
      <c r="F19" s="15" t="n">
        <v>0</v>
      </c>
      <c r="G19" s="15" t="n">
        <v>0</v>
      </c>
      <c r="H19" s="6">
        <f>SUM(C19:G19)</f>
        <v/>
      </c>
      <c r="I19" s="15">
        <f>Inputs!$C$32*Inputs!$C$8*1000*(1+Inputs!$D$32)^13*(1-Inputs!$C$19)^13</f>
        <v/>
      </c>
      <c r="J19" s="15">
        <f>Inputs!$C$33*Inputs!$C$8*1000*(1+Inputs!$D$33)^13*(1-Inputs!$C$19)^13</f>
        <v/>
      </c>
      <c r="K19" s="15">
        <f>Inputs!$C$34*Inputs!$C$8*1000*(1+Inputs!$D$34)^13*(1-Inputs!$C$19)^13</f>
        <v/>
      </c>
      <c r="L19" s="15">
        <f>Inputs!$C$35*Inputs!$C$8*1000*(1+Inputs!$D$35)^13</f>
        <v/>
      </c>
      <c r="M19" s="6">
        <f>SUM(I19:L19)</f>
        <v/>
      </c>
      <c r="N19" s="6">
        <f>M19-H19</f>
        <v/>
      </c>
      <c r="O19" s="19">
        <f>1/(1+Inputs!$C$12)^B19</f>
        <v/>
      </c>
      <c r="P19" s="15">
        <f>H19*O19</f>
        <v/>
      </c>
      <c r="Q19" s="15">
        <f>M19*O19</f>
        <v/>
      </c>
      <c r="R19" s="15">
        <f>R18+N19</f>
        <v/>
      </c>
    </row>
    <row r="20">
      <c r="B20" t="n">
        <v>15</v>
      </c>
      <c r="C20" s="15" t="n">
        <v>0</v>
      </c>
      <c r="D20" s="15">
        <f>Calculations!C8</f>
        <v/>
      </c>
      <c r="E20" s="15" t="n">
        <v>0</v>
      </c>
      <c r="F20" s="15" t="n">
        <v>0</v>
      </c>
      <c r="G20" s="15" t="n">
        <v>0</v>
      </c>
      <c r="H20" s="6">
        <f>SUM(C20:G20)</f>
        <v/>
      </c>
      <c r="I20" s="15">
        <f>Inputs!$C$32*Inputs!$C$8*1000*(1+Inputs!$D$32)^14*(1-Inputs!$C$19)^14</f>
        <v/>
      </c>
      <c r="J20" s="15">
        <f>Inputs!$C$33*Inputs!$C$8*1000*(1+Inputs!$D$33)^14*(1-Inputs!$C$19)^14</f>
        <v/>
      </c>
      <c r="K20" s="15">
        <f>Inputs!$C$34*Inputs!$C$8*1000*(1+Inputs!$D$34)^14*(1-Inputs!$C$19)^14</f>
        <v/>
      </c>
      <c r="L20" s="15">
        <f>Inputs!$C$35*Inputs!$C$8*1000*(1+Inputs!$D$35)^14</f>
        <v/>
      </c>
      <c r="M20" s="6">
        <f>SUM(I20:L20)</f>
        <v/>
      </c>
      <c r="N20" s="6">
        <f>M20-H20</f>
        <v/>
      </c>
      <c r="O20" s="19">
        <f>1/(1+Inputs!$C$12)^B20</f>
        <v/>
      </c>
      <c r="P20" s="15">
        <f>H20*O20</f>
        <v/>
      </c>
      <c r="Q20" s="15">
        <f>M20*O20</f>
        <v/>
      </c>
      <c r="R20" s="15">
        <f>R19+N20</f>
        <v/>
      </c>
    </row>
    <row r="21">
      <c r="B21" t="n">
        <v>16</v>
      </c>
      <c r="C21" s="15" t="n">
        <v>0</v>
      </c>
      <c r="D21" s="15">
        <f>Calculations!C8</f>
        <v/>
      </c>
      <c r="E21" s="15" t="n">
        <v>0</v>
      </c>
      <c r="F21" s="15" t="n">
        <v>0</v>
      </c>
      <c r="G21" s="15" t="n">
        <v>0</v>
      </c>
      <c r="H21" s="6">
        <f>SUM(C21:G21)</f>
        <v/>
      </c>
      <c r="I21" s="15">
        <f>Inputs!$C$32*Inputs!$C$8*1000*(1+Inputs!$D$32)^15*(1-Inputs!$C$19)^15</f>
        <v/>
      </c>
      <c r="J21" s="15">
        <f>Inputs!$C$33*Inputs!$C$8*1000*(1+Inputs!$D$33)^15*(1-Inputs!$C$19)^15</f>
        <v/>
      </c>
      <c r="K21" s="15">
        <f>Inputs!$C$34*Inputs!$C$8*1000*(1+Inputs!$D$34)^15*(1-Inputs!$C$19)^15</f>
        <v/>
      </c>
      <c r="L21" s="15">
        <f>Inputs!$C$35*Inputs!$C$8*1000*(1+Inputs!$D$35)^15</f>
        <v/>
      </c>
      <c r="M21" s="6">
        <f>SUM(I21:L21)</f>
        <v/>
      </c>
      <c r="N21" s="6">
        <f>M21-H21</f>
        <v/>
      </c>
      <c r="O21" s="19">
        <f>1/(1+Inputs!$C$12)^B21</f>
        <v/>
      </c>
      <c r="P21" s="15">
        <f>H21*O21</f>
        <v/>
      </c>
      <c r="Q21" s="15">
        <f>M21*O21</f>
        <v/>
      </c>
      <c r="R21" s="15">
        <f>R20+N21</f>
        <v/>
      </c>
    </row>
    <row r="22">
      <c r="B22" t="n">
        <v>17</v>
      </c>
      <c r="C22" s="15" t="n">
        <v>0</v>
      </c>
      <c r="D22" s="15">
        <f>Calculations!C8</f>
        <v/>
      </c>
      <c r="E22" s="15" t="n">
        <v>0</v>
      </c>
      <c r="F22" s="15" t="n">
        <v>0</v>
      </c>
      <c r="G22" s="15" t="n">
        <v>0</v>
      </c>
      <c r="H22" s="6">
        <f>SUM(C22:G22)</f>
        <v/>
      </c>
      <c r="I22" s="15">
        <f>Inputs!$C$32*Inputs!$C$8*1000*(1+Inputs!$D$32)^16*(1-Inputs!$C$19)^16</f>
        <v/>
      </c>
      <c r="J22" s="15">
        <f>Inputs!$C$33*Inputs!$C$8*1000*(1+Inputs!$D$33)^16*(1-Inputs!$C$19)^16</f>
        <v/>
      </c>
      <c r="K22" s="15">
        <f>Inputs!$C$34*Inputs!$C$8*1000*(1+Inputs!$D$34)^16*(1-Inputs!$C$19)^16</f>
        <v/>
      </c>
      <c r="L22" s="15">
        <f>Inputs!$C$35*Inputs!$C$8*1000*(1+Inputs!$D$35)^16</f>
        <v/>
      </c>
      <c r="M22" s="6">
        <f>SUM(I22:L22)</f>
        <v/>
      </c>
      <c r="N22" s="6">
        <f>M22-H22</f>
        <v/>
      </c>
      <c r="O22" s="19">
        <f>1/(1+Inputs!$C$12)^B22</f>
        <v/>
      </c>
      <c r="P22" s="15">
        <f>H22*O22</f>
        <v/>
      </c>
      <c r="Q22" s="15">
        <f>M22*O22</f>
        <v/>
      </c>
      <c r="R22" s="15">
        <f>R21+N22</f>
        <v/>
      </c>
    </row>
    <row r="23">
      <c r="B23" t="n">
        <v>18</v>
      </c>
      <c r="C23" s="15" t="n">
        <v>0</v>
      </c>
      <c r="D23" s="15">
        <f>Calculations!C8</f>
        <v/>
      </c>
      <c r="E23" s="15" t="n">
        <v>0</v>
      </c>
      <c r="F23" s="15" t="n">
        <v>0</v>
      </c>
      <c r="G23" s="15" t="n">
        <v>0</v>
      </c>
      <c r="H23" s="6">
        <f>SUM(C23:G23)</f>
        <v/>
      </c>
      <c r="I23" s="15">
        <f>Inputs!$C$32*Inputs!$C$8*1000*(1+Inputs!$D$32)^17*(1-Inputs!$C$19)^17</f>
        <v/>
      </c>
      <c r="J23" s="15">
        <f>Inputs!$C$33*Inputs!$C$8*1000*(1+Inputs!$D$33)^17*(1-Inputs!$C$19)^17</f>
        <v/>
      </c>
      <c r="K23" s="15">
        <f>Inputs!$C$34*Inputs!$C$8*1000*(1+Inputs!$D$34)^17*(1-Inputs!$C$19)^17</f>
        <v/>
      </c>
      <c r="L23" s="15">
        <f>Inputs!$C$35*Inputs!$C$8*1000*(1+Inputs!$D$35)^17</f>
        <v/>
      </c>
      <c r="M23" s="6">
        <f>SUM(I23:L23)</f>
        <v/>
      </c>
      <c r="N23" s="6">
        <f>M23-H23</f>
        <v/>
      </c>
      <c r="O23" s="19">
        <f>1/(1+Inputs!$C$12)^B23</f>
        <v/>
      </c>
      <c r="P23" s="15">
        <f>H23*O23</f>
        <v/>
      </c>
      <c r="Q23" s="15">
        <f>M23*O23</f>
        <v/>
      </c>
      <c r="R23" s="15">
        <f>R22+N23</f>
        <v/>
      </c>
    </row>
    <row r="24">
      <c r="B24" t="n">
        <v>19</v>
      </c>
      <c r="C24" s="15" t="n">
        <v>0</v>
      </c>
      <c r="D24" s="15">
        <f>Calculations!C8</f>
        <v/>
      </c>
      <c r="E24" s="15" t="n">
        <v>0</v>
      </c>
      <c r="F24" s="15" t="n">
        <v>0</v>
      </c>
      <c r="G24" s="15" t="n">
        <v>0</v>
      </c>
      <c r="H24" s="6">
        <f>SUM(C24:G24)</f>
        <v/>
      </c>
      <c r="I24" s="15">
        <f>Inputs!$C$32*Inputs!$C$8*1000*(1+Inputs!$D$32)^18*(1-Inputs!$C$19)^18</f>
        <v/>
      </c>
      <c r="J24" s="15">
        <f>Inputs!$C$33*Inputs!$C$8*1000*(1+Inputs!$D$33)^18*(1-Inputs!$C$19)^18</f>
        <v/>
      </c>
      <c r="K24" s="15">
        <f>Inputs!$C$34*Inputs!$C$8*1000*(1+Inputs!$D$34)^18*(1-Inputs!$C$19)^18</f>
        <v/>
      </c>
      <c r="L24" s="15">
        <f>Inputs!$C$35*Inputs!$C$8*1000*(1+Inputs!$D$35)^18</f>
        <v/>
      </c>
      <c r="M24" s="6">
        <f>SUM(I24:L24)</f>
        <v/>
      </c>
      <c r="N24" s="6">
        <f>M24-H24</f>
        <v/>
      </c>
      <c r="O24" s="19">
        <f>1/(1+Inputs!$C$12)^B24</f>
        <v/>
      </c>
      <c r="P24" s="15">
        <f>H24*O24</f>
        <v/>
      </c>
      <c r="Q24" s="15">
        <f>M24*O24</f>
        <v/>
      </c>
      <c r="R24" s="15">
        <f>R23+N24</f>
        <v/>
      </c>
    </row>
    <row r="25">
      <c r="B25" t="n">
        <v>20</v>
      </c>
      <c r="C25" s="15" t="n">
        <v>0</v>
      </c>
      <c r="D25" s="15">
        <f>Calculations!C8</f>
        <v/>
      </c>
      <c r="E25" s="15" t="n">
        <v>0</v>
      </c>
      <c r="F25" s="15" t="n">
        <v>0</v>
      </c>
      <c r="G25" s="15">
        <f>Calculations!C10</f>
        <v/>
      </c>
      <c r="H25" s="6">
        <f>SUM(C25:G25)</f>
        <v/>
      </c>
      <c r="I25" s="15">
        <f>Inputs!$C$32*Inputs!$C$8*1000*(1+Inputs!$D$32)^19*(1-Inputs!$C$19)^19</f>
        <v/>
      </c>
      <c r="J25" s="15">
        <f>Inputs!$C$33*Inputs!$C$8*1000*(1+Inputs!$D$33)^19*(1-Inputs!$C$19)^19</f>
        <v/>
      </c>
      <c r="K25" s="15">
        <f>Inputs!$C$34*Inputs!$C$8*1000*(1+Inputs!$D$34)^19*(1-Inputs!$C$19)^19</f>
        <v/>
      </c>
      <c r="L25" s="15">
        <f>Inputs!$C$35*Inputs!$C$8*1000*(1+Inputs!$D$35)^19</f>
        <v/>
      </c>
      <c r="M25" s="6">
        <f>SUM(I25:L25)</f>
        <v/>
      </c>
      <c r="N25" s="6">
        <f>M25-H25</f>
        <v/>
      </c>
      <c r="O25" s="19">
        <f>1/(1+Inputs!$C$12)^B25</f>
        <v/>
      </c>
      <c r="P25" s="15">
        <f>H25*O25</f>
        <v/>
      </c>
      <c r="Q25" s="15">
        <f>M25*O25</f>
        <v/>
      </c>
      <c r="R25" s="15">
        <f>R24+N25</f>
        <v/>
      </c>
    </row>
    <row r="27">
      <c r="B27" s="3" t="inlineStr">
        <is>
          <t>TOTALS</t>
        </is>
      </c>
      <c r="H27" s="20">
        <f>SUM(H5:H25)</f>
        <v/>
      </c>
      <c r="M27" s="20">
        <f>SUM(M5:M25)</f>
        <v/>
      </c>
      <c r="P27" s="20">
        <f>SUM(P5:P25)</f>
        <v/>
      </c>
      <c r="Q27" s="20">
        <f>SUM(Q5:Q25)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21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18" customWidth="1" min="3" max="3"/>
    <col width="50" customWidth="1" min="4" max="4"/>
  </cols>
  <sheetData>
    <row r="2">
      <c r="B2" s="18" t="inlineStr">
        <is>
          <t>Calculation Engine</t>
        </is>
      </c>
    </row>
    <row r="4">
      <c r="B4" s="2" t="inlineStr">
        <is>
          <t>DERIVED VALUES</t>
        </is>
      </c>
    </row>
    <row r="5">
      <c r="B5" t="inlineStr">
        <is>
          <t>Capacity (kW)</t>
        </is>
      </c>
      <c r="C5" s="21">
        <f>Inputs!C8*1000</f>
        <v/>
      </c>
      <c r="D5" s="5" t="inlineStr">
        <is>
          <t>Convert MW to kW</t>
        </is>
      </c>
    </row>
    <row r="6">
      <c r="B6" t="inlineStr">
        <is>
          <t>Capacity (kWh)</t>
        </is>
      </c>
      <c r="C6" s="21">
        <f>Inputs!C10*1000</f>
        <v/>
      </c>
      <c r="D6" s="5" t="inlineStr">
        <is>
          <t>Convert MWh to kWh</t>
        </is>
      </c>
    </row>
    <row r="7">
      <c r="B7" t="inlineStr">
        <is>
          <t>Total CapEx ($)</t>
        </is>
      </c>
      <c r="C7" s="21">
        <f>Inputs!C24*C6</f>
        <v/>
      </c>
      <c r="D7" s="5" t="inlineStr">
        <is>
          <t>CapEx/kWh × kWh</t>
        </is>
      </c>
    </row>
    <row r="8">
      <c r="B8" t="inlineStr">
        <is>
          <t>Annual Fixed O&amp;M ($)</t>
        </is>
      </c>
      <c r="C8" s="21">
        <f>Inputs!C25*C5</f>
        <v/>
      </c>
      <c r="D8" s="5" t="inlineStr">
        <is>
          <t>FOM/kW × kW</t>
        </is>
      </c>
    </row>
    <row r="9">
      <c r="B9" t="inlineStr">
        <is>
          <t>Augmentation Cost ($)</t>
        </is>
      </c>
      <c r="C9" s="21">
        <f>Inputs!C27*C6</f>
        <v/>
      </c>
      <c r="D9" s="5" t="inlineStr">
        <is>
          <t>Aug cost/kWh × kWh</t>
        </is>
      </c>
    </row>
    <row r="10">
      <c r="B10" t="inlineStr">
        <is>
          <t>Decommissioning Cost ($)</t>
        </is>
      </c>
      <c r="C10" s="21">
        <f>Inputs!C28*C5</f>
        <v/>
      </c>
      <c r="D10" s="5" t="inlineStr">
        <is>
          <t>Decom/kW × kW</t>
        </is>
      </c>
    </row>
    <row r="12">
      <c r="B12" s="2" t="inlineStr">
        <is>
          <t>ANNUAL ENERGY (Year 1)</t>
        </is>
      </c>
    </row>
    <row r="13">
      <c r="B13" t="inlineStr">
        <is>
          <t>Cycles per year</t>
        </is>
      </c>
      <c r="C13" s="4" t="n">
        <v>365</v>
      </c>
      <c r="D13" t="inlineStr">
        <is>
          <t>Assumed 1 cycle per day</t>
        </is>
      </c>
    </row>
    <row r="14">
      <c r="B14" t="inlineStr">
        <is>
          <t>Annual discharge (MWh)</t>
        </is>
      </c>
      <c r="C14" s="22">
        <f>Inputs!C10*C13*Inputs!C18</f>
        <v/>
      </c>
      <c r="D14" t="inlineStr">
        <is>
          <t>MWh × cycles × RTE</t>
        </is>
      </c>
    </row>
    <row r="16">
      <c r="B16" s="2" t="inlineStr">
        <is>
          <t>KEY FORMULAS</t>
        </is>
      </c>
    </row>
    <row r="17">
      <c r="B17" s="3" t="inlineStr">
        <is>
          <t>NPV</t>
        </is>
      </c>
      <c r="C17" t="inlineStr">
        <is>
          <t>Σ(CFₜ / (1+r)ᵗ) for t=0 to N</t>
        </is>
      </c>
      <c r="D17" s="23" t="inlineStr">
        <is>
          <t>Brealey &amp; Myers (2020)</t>
        </is>
      </c>
    </row>
    <row r="18">
      <c r="B18" s="3" t="inlineStr">
        <is>
          <t>BCR</t>
        </is>
      </c>
      <c r="C18" t="inlineStr">
        <is>
          <t>PV(Benefits) / PV(Costs)</t>
        </is>
      </c>
      <c r="D18" s="23" t="inlineStr">
        <is>
          <t>CPUC Standard Practice Manual</t>
        </is>
      </c>
    </row>
    <row r="19">
      <c r="B19" s="3" t="inlineStr">
        <is>
          <t>IRR</t>
        </is>
      </c>
      <c r="C19" t="inlineStr">
        <is>
          <t>Rate where NPV = 0</t>
        </is>
      </c>
      <c r="D19" s="23" t="inlineStr">
        <is>
          <t>Brealey &amp; Myers (2020)</t>
        </is>
      </c>
    </row>
    <row r="20">
      <c r="B20" s="3" t="inlineStr">
        <is>
          <t>LCOS</t>
        </is>
      </c>
      <c r="C20" t="inlineStr">
        <is>
          <t>PV(Costs) / PV(Energy)</t>
        </is>
      </c>
      <c r="D20" s="23" t="inlineStr">
        <is>
          <t>Lazard Methodology</t>
        </is>
      </c>
    </row>
    <row r="21">
      <c r="B21" s="3" t="inlineStr">
        <is>
          <t>Payback</t>
        </is>
      </c>
      <c r="C21" t="inlineStr">
        <is>
          <t>Year where cumulative CF &gt; 0</t>
        </is>
      </c>
      <c r="D21" s="23" t="inlineStr">
        <is>
          <t>Standard finance</t>
        </is>
      </c>
    </row>
  </sheetData>
  <mergeCells count="3">
    <mergeCell ref="B12:D12"/>
    <mergeCell ref="B16:D16"/>
    <mergeCell ref="B4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7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" t="inlineStr">
        <is>
          <t>Methodology &amp; References</t>
        </is>
      </c>
    </row>
    <row r="4">
      <c r="B4" s="2" t="inlineStr">
        <is>
          <t>OVERVIEW</t>
        </is>
      </c>
    </row>
    <row r="5" ht="45" customHeight="1">
      <c r="B5" s="24" t="inlineStr">
        <is>
          <t>This workbook performs economic analysis of battery energy storage system (BESS) projects using standard discounted cash flow (DCF) methodology. All calculations follow industry-standard approaches from NREL, Lazard, and the California Public Utilities Commission (CPUC).</t>
        </is>
      </c>
    </row>
    <row r="7">
      <c r="B7" s="2" t="inlineStr">
        <is>
          <t>KEY FORMULAS</t>
        </is>
      </c>
    </row>
    <row r="8">
      <c r="B8" s="3" t="inlineStr">
        <is>
          <t>Net Present Value (NPV)</t>
        </is>
      </c>
    </row>
    <row r="9">
      <c r="B9" s="23" t="inlineStr">
        <is>
          <t>Formula: NPV = Σ(CFₜ / (1+r)ᵗ) for t=0 to N</t>
        </is>
      </c>
    </row>
    <row r="10">
      <c r="B10" t="inlineStr">
        <is>
          <t>Where CFₜ = cash flow in year t, r = discount rate, N = analysis period</t>
        </is>
      </c>
    </row>
    <row r="12">
      <c r="B12" s="3" t="inlineStr">
        <is>
          <t>Benefit-Cost Ratio (BCR)</t>
        </is>
      </c>
    </row>
    <row r="13">
      <c r="B13" s="23" t="inlineStr">
        <is>
          <t>Formula: BCR = PV(Benefits) / PV(Costs)</t>
        </is>
      </c>
    </row>
    <row r="14">
      <c r="B14" t="inlineStr">
        <is>
          <t>BCR &gt; 1.0 indicates project creates net value; BCR &gt; 1.5 is strong</t>
        </is>
      </c>
    </row>
    <row r="16">
      <c r="B16" s="3" t="inlineStr">
        <is>
          <t>Internal Rate of Return (IRR)</t>
        </is>
      </c>
    </row>
    <row r="17">
      <c r="B17" s="23" t="inlineStr">
        <is>
          <t>Formula: IRR: Find r where NPV = 0</t>
        </is>
      </c>
    </row>
    <row r="18">
      <c r="B18" t="inlineStr">
        <is>
          <t>The discount rate that makes NPV equal to zero</t>
        </is>
      </c>
    </row>
    <row r="20">
      <c r="B20" s="3" t="inlineStr">
        <is>
          <t>Levelized Cost of Storage (LCOS)</t>
        </is>
      </c>
    </row>
    <row r="21">
      <c r="B21" s="23" t="inlineStr">
        <is>
          <t>Formula: LCOS = PV(Lifetime Costs) / PV(Lifetime Energy Discharged)</t>
        </is>
      </c>
    </row>
    <row r="22">
      <c r="B22" t="inlineStr">
        <is>
          <t>Expressed in $/MWh; enables comparison across technologies</t>
        </is>
      </c>
    </row>
    <row r="24">
      <c r="B24" s="3" t="inlineStr">
        <is>
          <t>Payback Period</t>
        </is>
      </c>
    </row>
    <row r="25">
      <c r="B25" s="23" t="inlineStr">
        <is>
          <t>Formula: Year t where Σ(CF₀ to CFₜ) ≥ 0</t>
        </is>
      </c>
    </row>
    <row r="26">
      <c r="B26" t="inlineStr">
        <is>
          <t>First year when cumulative cash flow turns positive</t>
        </is>
      </c>
    </row>
    <row r="28">
      <c r="B28" s="3" t="inlineStr">
        <is>
          <t>Degradation Adjustment</t>
        </is>
      </c>
    </row>
    <row r="29">
      <c r="B29" s="23" t="inlineStr">
        <is>
          <t>Formula: Capacity(t) = Capacity(0) × (1 - degradation_rate)^t</t>
        </is>
      </c>
    </row>
    <row r="30">
      <c r="B30" t="inlineStr">
        <is>
          <t>Applied to capacity-based revenue streams</t>
        </is>
      </c>
    </row>
    <row r="32">
      <c r="B32" s="3" t="inlineStr">
        <is>
          <t>Benefit Escalation</t>
        </is>
      </c>
    </row>
    <row r="33">
      <c r="B33" s="23" t="inlineStr">
        <is>
          <t>Formula: Value(t) = Value(1) × (1 + escalation_rate)^(t-1)</t>
        </is>
      </c>
    </row>
    <row r="34">
      <c r="B34" t="inlineStr">
        <is>
          <t>Annual price escalation for each benefit stream</t>
        </is>
      </c>
    </row>
    <row r="36">
      <c r="B36" s="3" t="inlineStr">
        <is>
          <t>Technology Learning Curve (Cost Decline)</t>
        </is>
      </c>
    </row>
    <row r="37">
      <c r="B37" s="23" t="inlineStr">
        <is>
          <t>Formula: Cost(year) = Cost(base) × (1 - learning_rate)^(year - base_year)</t>
        </is>
      </c>
    </row>
    <row r="38">
      <c r="B38" t="inlineStr">
        <is>
          <t>Battery costs decline ~10-15% annually; reduces augmentation &amp; replacement costs</t>
        </is>
      </c>
    </row>
    <row r="40">
      <c r="B40" s="3" t="inlineStr">
        <is>
          <t>T&amp;D Deferral Benefit</t>
        </is>
      </c>
    </row>
    <row r="41">
      <c r="B41" s="23" t="inlineStr">
        <is>
          <t>Formula: Annual Value = Avoided_Cost_per_kW × Capacity_kW × BESS_Contribution_Factor</t>
        </is>
      </c>
    </row>
    <row r="42">
      <c r="B42" t="inlineStr">
        <is>
          <t>Value of deferring transmission/distribution infrastructure investments</t>
        </is>
      </c>
    </row>
    <row r="44">
      <c r="B44" s="2" t="inlineStr">
        <is>
          <t>ASSUMPTION LIBRARIES</t>
        </is>
      </c>
    </row>
    <row r="45">
      <c r="B45" s="3" t="inlineStr">
        <is>
          <t>NREL ATB 2024 - Moderate</t>
        </is>
      </c>
    </row>
    <row r="46">
      <c r="B46" t="inlineStr">
        <is>
          <t>Source: National Renewable Energy Laboratory Annual Technology Baseline 2024</t>
        </is>
      </c>
    </row>
    <row r="47">
      <c r="B47" s="25" t="inlineStr">
        <is>
          <t>URL: https://atb.nrel.gov/electricity/2024/utility-scale_battery_storage</t>
        </is>
      </c>
    </row>
    <row r="48">
      <c r="B48" t="inlineStr">
        <is>
          <t>Notes: Moderate cost scenario from median of 16 industry sources. 4-hour LFP system.</t>
        </is>
      </c>
    </row>
    <row r="50">
      <c r="B50" s="3" t="inlineStr">
        <is>
          <t>Lazard LCOS 2025</t>
        </is>
      </c>
    </row>
    <row r="51">
      <c r="B51" t="inlineStr">
        <is>
          <t>Source: Lazard's Levelized Cost of Storage Analysis, Version 10.0 (March 2025)</t>
        </is>
      </c>
    </row>
    <row r="52">
      <c r="B52" s="25" t="inlineStr">
        <is>
          <t>URL: https://www.lazard.com/research-insights/levelized-cost-of-storage/</t>
        </is>
      </c>
    </row>
    <row r="53">
      <c r="B53" t="inlineStr">
        <is>
          <t>Notes: Utility-scale 100 MW / 400 MWh LFP system. Merchant project structure.</t>
        </is>
      </c>
    </row>
    <row r="55">
      <c r="B55" s="3" t="inlineStr">
        <is>
          <t>CPUC California 2024</t>
        </is>
      </c>
    </row>
    <row r="56">
      <c r="B56" t="inlineStr">
        <is>
          <t>Source: California Public Utilities Commission Standard Practice Manual</t>
        </is>
      </c>
    </row>
    <row r="57">
      <c r="B57" s="25" t="inlineStr">
        <is>
          <t>URL: https://www.cpuc.ca.gov/industries-and-topics/electrical-energy/demand-side-management</t>
        </is>
      </c>
    </row>
    <row r="58">
      <c r="B58" t="inlineStr">
        <is>
          <t>Notes: California-specific assumptions including RA premiums and T&amp;D deferral values.</t>
        </is>
      </c>
    </row>
    <row r="60">
      <c r="B60" s="2" t="inlineStr">
        <is>
          <t>REFERENCES &amp; CITATIONS</t>
        </is>
      </c>
    </row>
    <row r="61" ht="30" customHeight="1">
      <c r="B61" s="24" t="inlineStr">
        <is>
          <t>[1] NREL. Annual Technology Baseline 2024. National Renewable Energy Laboratory. April 2024. https://atb.nrel.gov/</t>
        </is>
      </c>
    </row>
    <row r="62" ht="30" customHeight="1">
      <c r="B62" s="24" t="inlineStr">
        <is>
          <t>[2] Lazard. Lazard's Levelized Cost of Storage Analysis, Version 10.0. March 2025.</t>
        </is>
      </c>
    </row>
    <row r="63" ht="30" customHeight="1">
      <c r="B63" s="24" t="inlineStr">
        <is>
          <t>[3] California Public Utilities Commission. California Standard Practice Manual: Economic Analysis of Demand-Side Programs and Projects. October 2001.</t>
        </is>
      </c>
    </row>
    <row r="64" ht="30" customHeight="1">
      <c r="B64" s="24" t="inlineStr">
        <is>
          <t>[4] California Public Utilities Commission. 2024 Resource Adequacy Report. D.24-06-050. November 2024.</t>
        </is>
      </c>
    </row>
    <row r="65" ht="30" customHeight="1">
      <c r="B65" s="24" t="inlineStr">
        <is>
          <t>[5] E3 (Energy+Environmental Economics). 2024 Avoided Cost Calculator. Prepared for CPUC. October 2024.</t>
        </is>
      </c>
    </row>
    <row r="66" ht="30" customHeight="1">
      <c r="B66" s="24" t="inlineStr">
        <is>
          <t>[6] California ISO. Market Performance Reports 2024. https://www.caiso.com/market/</t>
        </is>
      </c>
    </row>
    <row r="67" ht="30" customHeight="1">
      <c r="B67" s="24" t="inlineStr">
        <is>
          <t>[7] Brealey, R., Myers, S., &amp; Allen, F. Principles of Corporate Finance (13th ed.). McGraw-Hill, 2020.</t>
        </is>
      </c>
    </row>
    <row r="68" ht="30" customHeight="1">
      <c r="B68" s="24" t="inlineStr">
        <is>
          <t>[8] NREL. Storage Futures Study: Economic Potential of Diurnal Storage. NREL/TP-6A20-77449. 2021.</t>
        </is>
      </c>
    </row>
    <row r="69" ht="30" customHeight="1">
      <c r="B69" s="24" t="inlineStr">
        <is>
          <t>[9] BloombergNEF. Lithium-Ion Battery Price Survey 2025. Battery technology learning curves.</t>
        </is>
      </c>
    </row>
    <row r="70" ht="30" customHeight="1">
      <c r="B70" s="24" t="inlineStr">
        <is>
          <t>[10] E3. California Energy Storage Cost Analysis 2024. T&amp;D Deferral methodology and avoided cost calculations.</t>
        </is>
      </c>
    </row>
    <row r="72">
      <c r="B72" s="2" t="inlineStr">
        <is>
          <t>DISCLAIMER</t>
        </is>
      </c>
    </row>
    <row r="73" ht="60" customHeight="1">
      <c r="B73" s="24" t="inlineStr">
        <is>
          <t>This model is provided for analytical purposes only. Results should be validated against independent sources before use in investment decisions. Actual project economics will vary based on site-specific conditions, market dynamics, and evolving technology costs. Users are responsible for verifying all assumptions and calculations.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26" t="inlineStr">
        <is>
          <t>Assumption Library Data (for reference)</t>
        </is>
      </c>
    </row>
    <row r="3">
      <c r="A3" s="10" t="inlineStr">
        <is>
          <t>Parameter</t>
        </is>
      </c>
      <c r="B3" s="10" t="inlineStr">
        <is>
          <t>NREL ATB 2024</t>
        </is>
      </c>
      <c r="C3" s="10" t="inlineStr">
        <is>
          <t>Lazard LCOS 2025</t>
        </is>
      </c>
      <c r="D3" s="10" t="inlineStr">
        <is>
          <t>CPUC California 2024</t>
        </is>
      </c>
    </row>
    <row r="4">
      <c r="A4" t="inlineStr">
        <is>
          <t>CapEx ($/kWh)</t>
        </is>
      </c>
      <c r="B4" t="n">
        <v>160</v>
      </c>
      <c r="C4" t="n">
        <v>145</v>
      </c>
      <c r="D4" t="n">
        <v>155</v>
      </c>
    </row>
    <row r="5">
      <c r="A5" t="inlineStr">
        <is>
          <t>Fixed O&amp;M ($/kW-yr)</t>
        </is>
      </c>
      <c r="B5" t="n">
        <v>25</v>
      </c>
      <c r="C5" t="n">
        <v>22</v>
      </c>
      <c r="D5" t="n">
        <v>26</v>
      </c>
    </row>
    <row r="6">
      <c r="A6" t="inlineStr">
        <is>
          <t>Variable O&amp;M ($/MWh)</t>
        </is>
      </c>
      <c r="B6" t="n">
        <v>0</v>
      </c>
      <c r="C6" t="n">
        <v>0.5</v>
      </c>
      <c r="D6" t="n">
        <v>0</v>
      </c>
    </row>
    <row r="7">
      <c r="A7" t="inlineStr">
        <is>
          <t>Augmentation ($/kWh)</t>
        </is>
      </c>
      <c r="B7" t="n">
        <v>55</v>
      </c>
      <c r="C7" t="n">
        <v>50</v>
      </c>
      <c r="D7" t="n">
        <v>52</v>
      </c>
    </row>
    <row r="8">
      <c r="A8" t="inlineStr">
        <is>
          <t>Decommissioning ($/kW)</t>
        </is>
      </c>
      <c r="B8" t="n">
        <v>10</v>
      </c>
      <c r="C8" t="n">
        <v>8</v>
      </c>
      <c r="D8" t="n">
        <v>12</v>
      </c>
    </row>
    <row r="9">
      <c r="A9" t="inlineStr">
        <is>
          <t>Round-Trip Efficiency</t>
        </is>
      </c>
      <c r="B9" t="inlineStr">
        <is>
          <t>85%</t>
        </is>
      </c>
      <c r="C9" t="inlineStr">
        <is>
          <t>86%</t>
        </is>
      </c>
      <c r="D9" t="inlineStr">
        <is>
          <t>85%</t>
        </is>
      </c>
    </row>
    <row r="10">
      <c r="A10" t="inlineStr">
        <is>
          <t>Annual Degradation</t>
        </is>
      </c>
      <c r="B10" t="inlineStr">
        <is>
          <t>2.5%</t>
        </is>
      </c>
      <c r="C10" t="inlineStr">
        <is>
          <t>2.0%</t>
        </is>
      </c>
      <c r="D10" t="inlineStr">
        <is>
          <t>2.5%</t>
        </is>
      </c>
    </row>
    <row r="11">
      <c r="A11" t="inlineStr">
        <is>
          <t>Cycle Life</t>
        </is>
      </c>
      <c r="B11" t="n">
        <v>6000</v>
      </c>
      <c r="C11" t="n">
        <v>6500</v>
      </c>
      <c r="D11" t="n">
        <v>6000</v>
      </c>
    </row>
    <row r="12">
      <c r="A12" t="inlineStr">
        <is>
          <t>Augmentation Year</t>
        </is>
      </c>
      <c r="B12" t="n">
        <v>12</v>
      </c>
      <c r="C12" t="n">
        <v>12</v>
      </c>
      <c r="D12" t="n">
        <v>12</v>
      </c>
    </row>
    <row r="13">
      <c r="A13" t="inlineStr">
        <is>
          <t>Learning Rate (Cost Decline)</t>
        </is>
      </c>
      <c r="B13" t="inlineStr">
        <is>
          <t>12%</t>
        </is>
      </c>
      <c r="C13" t="inlineStr">
        <is>
          <t>10%</t>
        </is>
      </c>
      <c r="D13" t="inlineStr">
        <is>
          <t>11%</t>
        </is>
      </c>
    </row>
    <row r="14">
      <c r="A14" t="inlineStr">
        <is>
          <t>Cost Base Year</t>
        </is>
      </c>
      <c r="B14" t="n">
        <v>2024</v>
      </c>
      <c r="C14" t="n">
        <v>2025</v>
      </c>
      <c r="D14" t="n">
        <v>2024</v>
      </c>
    </row>
    <row r="16">
      <c r="A16" s="3" t="inlineStr">
        <is>
          <t>Tax Credits (BESS-Specific)</t>
        </is>
      </c>
    </row>
    <row r="17">
      <c r="A17" t="inlineStr">
        <is>
          <t>ITC Base Rate</t>
        </is>
      </c>
      <c r="B17" t="inlineStr">
        <is>
          <t>30%</t>
        </is>
      </c>
      <c r="C17" t="inlineStr">
        <is>
          <t>30%</t>
        </is>
      </c>
      <c r="D17" t="inlineStr">
        <is>
          <t>30%</t>
        </is>
      </c>
    </row>
    <row r="18">
      <c r="A18" t="inlineStr">
        <is>
          <t>ITC Adders</t>
        </is>
      </c>
      <c r="B18" t="inlineStr">
        <is>
          <t>0%</t>
        </is>
      </c>
      <c r="C18" t="inlineStr">
        <is>
          <t>0%</t>
        </is>
      </c>
      <c r="D18" t="inlineStr">
        <is>
          <t>10%</t>
        </is>
      </c>
    </row>
    <row r="20">
      <c r="A20" s="3" t="inlineStr">
        <is>
          <t>Infrastructure Costs (Common)</t>
        </is>
      </c>
    </row>
    <row r="21">
      <c r="A21" t="inlineStr">
        <is>
          <t>Interconnection ($/kW)</t>
        </is>
      </c>
      <c r="B21" t="n">
        <v>100</v>
      </c>
      <c r="C21" t="n">
        <v>90</v>
      </c>
      <c r="D21" t="n">
        <v>120</v>
      </c>
    </row>
    <row r="22">
      <c r="A22" t="inlineStr">
        <is>
          <t>Land ($/kW)</t>
        </is>
      </c>
      <c r="B22" t="n">
        <v>10</v>
      </c>
      <c r="C22" t="n">
        <v>8</v>
      </c>
      <c r="D22" t="n">
        <v>15</v>
      </c>
    </row>
    <row r="23">
      <c r="A23" t="inlineStr">
        <is>
          <t>Permitting ($/kW)</t>
        </is>
      </c>
      <c r="B23" t="n">
        <v>15</v>
      </c>
      <c r="C23" t="n">
        <v>12</v>
      </c>
      <c r="D23" t="n">
        <v>20</v>
      </c>
    </row>
    <row r="24">
      <c r="A24" t="inlineStr">
        <is>
          <t>Insurance (% of CapEx)</t>
        </is>
      </c>
      <c r="B24" t="inlineStr">
        <is>
          <t>0.5%</t>
        </is>
      </c>
      <c r="C24" t="inlineStr">
        <is>
          <t>0.5%</t>
        </is>
      </c>
      <c r="D24" t="inlineStr">
        <is>
          <t>0.5%</t>
        </is>
      </c>
    </row>
    <row r="25">
      <c r="A25" t="inlineStr">
        <is>
          <t>Property Tax (%)</t>
        </is>
      </c>
      <c r="B25" t="inlineStr">
        <is>
          <t>1.0%</t>
        </is>
      </c>
      <c r="C25" t="inlineStr">
        <is>
          <t>1.0%</t>
        </is>
      </c>
      <c r="D25" t="inlineStr">
        <is>
          <t>1.05%</t>
        </is>
      </c>
    </row>
    <row r="27">
      <c r="A27" s="3" t="inlineStr">
        <is>
          <t>Benefit Streams ($/kW-yr)</t>
        </is>
      </c>
    </row>
    <row r="28">
      <c r="A28" t="inlineStr">
        <is>
          <t>Resource Adequacy [common]</t>
        </is>
      </c>
      <c r="B28" s="15" t="n">
        <v>150</v>
      </c>
      <c r="C28" s="15" t="n">
        <v>140</v>
      </c>
      <c r="D28" s="15" t="n">
        <v>180</v>
      </c>
    </row>
    <row r="29">
      <c r="A29" t="inlineStr">
        <is>
          <t>Energy Arbitrage [common]</t>
        </is>
      </c>
      <c r="B29" s="15" t="n">
        <v>40</v>
      </c>
      <c r="C29" s="15" t="n">
        <v>45</v>
      </c>
      <c r="D29" s="15" t="n">
        <v>35</v>
      </c>
    </row>
    <row r="30">
      <c r="A30" t="inlineStr">
        <is>
          <t>Ancillary Services [common]</t>
        </is>
      </c>
      <c r="B30" s="15" t="n">
        <v>15</v>
      </c>
      <c r="C30" s="15" t="n">
        <v>12</v>
      </c>
      <c r="D30" s="15" t="n">
        <v>10</v>
      </c>
    </row>
    <row r="31">
      <c r="A31" t="inlineStr">
        <is>
          <t>T&amp;D Deferral [common]</t>
        </is>
      </c>
      <c r="B31" s="15" t="n">
        <v>25</v>
      </c>
      <c r="C31" s="15" t="n">
        <v>20</v>
      </c>
      <c r="D31" s="15" t="n">
        <v>25</v>
      </c>
    </row>
    <row r="32">
      <c r="A32" t="inlineStr">
        <is>
          <t>Resilience Value [common]</t>
        </is>
      </c>
      <c r="B32" s="15" t="n">
        <v>50</v>
      </c>
      <c r="C32" s="15" t="n">
        <v>45</v>
      </c>
      <c r="D32" s="15" t="n">
        <v>60</v>
      </c>
    </row>
    <row r="33">
      <c r="A33" t="inlineStr">
        <is>
          <t>Renewable Integration [bess]</t>
        </is>
      </c>
      <c r="B33" s="15" t="n">
        <v>25</v>
      </c>
      <c r="C33" s="15" t="n">
        <v>20</v>
      </c>
      <c r="D33" s="15" t="n">
        <v>30</v>
      </c>
    </row>
    <row r="34">
      <c r="A34" t="inlineStr">
        <is>
          <t>GHG Emissions Value [bess]</t>
        </is>
      </c>
      <c r="B34" s="15" t="n">
        <v>15</v>
      </c>
      <c r="C34" s="15" t="n">
        <v>12</v>
      </c>
      <c r="D34" s="15" t="n">
        <v>20</v>
      </c>
    </row>
    <row r="35">
      <c r="A35" t="inlineStr">
        <is>
          <t>Voltage Support [common]</t>
        </is>
      </c>
      <c r="B35" s="15" t="n">
        <v>8</v>
      </c>
      <c r="C35" s="15" t="n">
        <v>6</v>
      </c>
      <c r="D35" s="15" t="n">
        <v>10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30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VBA Macros &amp; Report Generation</t>
        </is>
      </c>
    </row>
    <row r="4">
      <c r="B4" s="2" t="inlineStr">
        <is>
          <t>IMPORTANT: TO ENABLE MACROS</t>
        </is>
      </c>
    </row>
    <row r="5">
      <c r="B5" t="inlineStr">
        <is>
          <t>1. Save this file as .xlsm (Excel Macro-Enabled Workbook)</t>
        </is>
      </c>
    </row>
    <row r="6">
      <c r="B6" t="inlineStr">
        <is>
          <t>2. Open the VBA Editor (Alt+F11 on Windows, Option+F11 on Mac)</t>
        </is>
      </c>
    </row>
    <row r="7">
      <c r="B7" t="inlineStr">
        <is>
          <t>3. Insert a new Module (Insert &gt; Module)</t>
        </is>
      </c>
    </row>
    <row r="8">
      <c r="B8" t="inlineStr">
        <is>
          <t>4. Copy and paste the VBA code below into the module</t>
        </is>
      </c>
    </row>
    <row r="9">
      <c r="B9" t="inlineStr">
        <is>
          <t>5. Save and close the VBA Editor</t>
        </is>
      </c>
    </row>
    <row r="10">
      <c r="B10" t="inlineStr">
        <is>
          <t>6. You can now run macros from the Developer tab or assign to buttons</t>
        </is>
      </c>
    </row>
    <row r="12">
      <c r="B12" s="2" t="inlineStr">
        <is>
          <t>VBA CODE TO COPY:</t>
        </is>
      </c>
    </row>
    <row r="13">
      <c r="B13" s="27" t="inlineStr">
        <is>
          <t>'=============================================================</t>
        </is>
      </c>
    </row>
    <row r="14">
      <c r="B14" s="27" t="inlineStr">
        <is>
          <t>' BESS Analyzer VBA Macros</t>
        </is>
      </c>
    </row>
    <row r="15">
      <c r="B15" s="27" t="inlineStr">
        <is>
          <t>' Copy this entire code block into a VBA Module</t>
        </is>
      </c>
    </row>
    <row r="16">
      <c r="B16" s="27" t="inlineStr">
        <is>
          <t>'=============================================================</t>
        </is>
      </c>
    </row>
    <row r="17">
      <c r="B17" s="27" t="inlineStr"/>
    </row>
    <row r="18">
      <c r="B18" s="27" t="inlineStr">
        <is>
          <t>Sub GenerateReport()</t>
        </is>
      </c>
    </row>
    <row r="19">
      <c r="B19" s="27" t="inlineStr">
        <is>
          <t xml:space="preserve">    ' Generate a formatted report on a new sheet</t>
        </is>
      </c>
    </row>
    <row r="20">
      <c r="B20" s="27" t="inlineStr">
        <is>
          <t xml:space="preserve">    Dim wsReport As Worksheet</t>
        </is>
      </c>
    </row>
    <row r="21">
      <c r="B21" s="27" t="inlineStr">
        <is>
          <t xml:space="preserve">    Dim wsResults As Worksheet</t>
        </is>
      </c>
    </row>
    <row r="22">
      <c r="B22" s="27" t="inlineStr">
        <is>
          <t xml:space="preserve">    Dim wsInputs As Worksheet</t>
        </is>
      </c>
    </row>
    <row r="23">
      <c r="B23" s="27" t="inlineStr">
        <is>
          <t xml:space="preserve">    Dim wsCF As Worksheet</t>
        </is>
      </c>
    </row>
    <row r="24">
      <c r="B24" s="27" t="inlineStr"/>
    </row>
    <row r="25">
      <c r="B25" s="27" t="inlineStr">
        <is>
          <t xml:space="preserve">    Set wsResults = ThisWorkbook.Sheets("Results")</t>
        </is>
      </c>
    </row>
    <row r="26">
      <c r="B26" s="27" t="inlineStr">
        <is>
          <t xml:space="preserve">    Set wsInputs = ThisWorkbook.Sheets("Inputs")</t>
        </is>
      </c>
    </row>
    <row r="27">
      <c r="B27" s="27" t="inlineStr">
        <is>
          <t xml:space="preserve">    Set wsCF = ThisWorkbook.Sheets("Cash_Flows")</t>
        </is>
      </c>
    </row>
    <row r="28">
      <c r="B28" s="27" t="inlineStr"/>
    </row>
    <row r="29">
      <c r="B29" s="27" t="inlineStr">
        <is>
          <t xml:space="preserve">    ' Delete old report if exists</t>
        </is>
      </c>
    </row>
    <row r="30">
      <c r="B30" s="27" t="inlineStr">
        <is>
          <t xml:space="preserve">    On Error Resume Next</t>
        </is>
      </c>
    </row>
    <row r="31">
      <c r="B31" s="27" t="inlineStr">
        <is>
          <t xml:space="preserve">    Application.DisplayAlerts = False</t>
        </is>
      </c>
    </row>
    <row r="32">
      <c r="B32" s="27" t="inlineStr">
        <is>
          <t xml:space="preserve">    ThisWorkbook.Sheets("Report").Delete</t>
        </is>
      </c>
    </row>
    <row r="33">
      <c r="B33" s="27" t="inlineStr">
        <is>
          <t xml:space="preserve">    Application.DisplayAlerts = True</t>
        </is>
      </c>
    </row>
    <row r="34">
      <c r="B34" s="27" t="inlineStr">
        <is>
          <t xml:space="preserve">    On Error GoTo 0</t>
        </is>
      </c>
    </row>
    <row r="35">
      <c r="B35" s="27" t="inlineStr"/>
    </row>
    <row r="36">
      <c r="B36" s="27" t="inlineStr">
        <is>
          <t xml:space="preserve">    ' Create new report sheet</t>
        </is>
      </c>
    </row>
    <row r="37">
      <c r="B37" s="27" t="inlineStr">
        <is>
          <t xml:space="preserve">    Set wsReport = ThisWorkbook.Sheets.Add(After:=ThisWorkbook.Sheets(ThisWorkbook.Sheets.Count))</t>
        </is>
      </c>
    </row>
    <row r="38">
      <c r="B38" s="27" t="inlineStr">
        <is>
          <t xml:space="preserve">    wsReport.Name = "Report"</t>
        </is>
      </c>
    </row>
    <row r="39">
      <c r="B39" s="27" t="inlineStr"/>
    </row>
    <row r="40">
      <c r="B40" s="27" t="inlineStr">
        <is>
          <t xml:space="preserve">    ' Set up report formatting</t>
        </is>
      </c>
    </row>
    <row r="41">
      <c r="B41" s="27" t="inlineStr">
        <is>
          <t xml:space="preserve">    wsReport.PageSetup.Orientation = xlPortrait</t>
        </is>
      </c>
    </row>
    <row r="42">
      <c r="B42" s="27" t="inlineStr">
        <is>
          <t xml:space="preserve">    wsReport.PageSetup.FitToPagesWide = 1</t>
        </is>
      </c>
    </row>
    <row r="43">
      <c r="B43" s="27" t="inlineStr">
        <is>
          <t xml:space="preserve">    wsReport.PageSetup.FitToPagesTall = False</t>
        </is>
      </c>
    </row>
    <row r="44">
      <c r="B44" s="27" t="inlineStr"/>
    </row>
    <row r="45">
      <c r="B45" s="27" t="inlineStr">
        <is>
          <t xml:space="preserve">    Dim row As Long</t>
        </is>
      </c>
    </row>
    <row r="46">
      <c r="B46" s="27" t="inlineStr">
        <is>
          <t xml:space="preserve">    row = 2</t>
        </is>
      </c>
    </row>
    <row r="47">
      <c r="B47" s="27" t="inlineStr"/>
    </row>
    <row r="48">
      <c r="B48" s="27" t="inlineStr">
        <is>
          <t xml:space="preserve">    ' Title</t>
        </is>
      </c>
    </row>
    <row r="49">
      <c r="B49" s="27" t="inlineStr">
        <is>
          <t xml:space="preserve">    wsReport.Cells(row, 2).Value = "BESS ECONOMIC ANALYSIS REPORT"</t>
        </is>
      </c>
    </row>
    <row r="50">
      <c r="B50" s="27" t="inlineStr">
        <is>
          <t xml:space="preserve">    wsReport.Cells(row, 2).Font.Bold = True</t>
        </is>
      </c>
    </row>
    <row r="51">
      <c r="B51" s="27" t="inlineStr">
        <is>
          <t xml:space="preserve">    wsReport.Cells(row, 2).Font.Size = 18</t>
        </is>
      </c>
    </row>
    <row r="52">
      <c r="B52" s="27" t="inlineStr">
        <is>
          <t xml:space="preserve">    wsReport.Range("B" &amp; row &amp; ":F" &amp; row).Merge</t>
        </is>
      </c>
    </row>
    <row r="53">
      <c r="B53" s="27" t="inlineStr">
        <is>
          <t xml:space="preserve">    row = row + 2</t>
        </is>
      </c>
    </row>
    <row r="54">
      <c r="B54" s="27" t="inlineStr"/>
    </row>
    <row r="55">
      <c r="B55" s="27" t="inlineStr">
        <is>
          <t xml:space="preserve">    ' Project Summary</t>
        </is>
      </c>
    </row>
    <row r="56">
      <c r="B56" s="27" t="inlineStr">
        <is>
          <t xml:space="preserve">    wsReport.Cells(row, 2).Value = "PROJECT SUMMARY"</t>
        </is>
      </c>
    </row>
    <row r="57">
      <c r="B57" s="27" t="inlineStr">
        <is>
          <t xml:space="preserve">    wsReport.Cells(row, 2).Font.Bold = True</t>
        </is>
      </c>
    </row>
    <row r="58">
      <c r="B58" s="27" t="inlineStr">
        <is>
          <t xml:space="preserve">    wsReport.Cells(row, 2).Font.Size = 14</t>
        </is>
      </c>
    </row>
    <row r="59">
      <c r="B59" s="27" t="inlineStr">
        <is>
          <t xml:space="preserve">    wsReport.Cells(row, 2).Interior.Color = RGB(227, 242, 253)</t>
        </is>
      </c>
    </row>
    <row r="60">
      <c r="B60" s="27" t="inlineStr">
        <is>
          <t xml:space="preserve">    wsReport.Range("B" &amp; row &amp; ":F" &amp; row).Merge</t>
        </is>
      </c>
    </row>
    <row r="61">
      <c r="B61" s="27" t="inlineStr">
        <is>
          <t xml:space="preserve">    row = row + 1</t>
        </is>
      </c>
    </row>
    <row r="62">
      <c r="B62" s="27" t="inlineStr"/>
    </row>
    <row r="63">
      <c r="B63" s="27" t="inlineStr">
        <is>
          <t xml:space="preserve">    wsReport.Cells(row, 2).Value = "Project Name:"</t>
        </is>
      </c>
    </row>
    <row r="64">
      <c r="B64" s="27" t="inlineStr">
        <is>
          <t xml:space="preserve">    wsReport.Cells(row, 3).Value = wsInputs.Range("C5").Value</t>
        </is>
      </c>
    </row>
    <row r="65">
      <c r="B65" s="27" t="inlineStr">
        <is>
          <t xml:space="preserve">    row = row + 1</t>
        </is>
      </c>
    </row>
    <row r="66">
      <c r="B66" s="27" t="inlineStr"/>
    </row>
    <row r="67">
      <c r="B67" s="27" t="inlineStr">
        <is>
          <t xml:space="preserve">    wsReport.Cells(row, 2).Value = "Location:"</t>
        </is>
      </c>
    </row>
    <row r="68">
      <c r="B68" s="27" t="inlineStr">
        <is>
          <t xml:space="preserve">    wsReport.Cells(row, 3).Value = wsInputs.Range("C7").Value</t>
        </is>
      </c>
    </row>
    <row r="69">
      <c r="B69" s="27" t="inlineStr">
        <is>
          <t xml:space="preserve">    row = row + 1</t>
        </is>
      </c>
    </row>
    <row r="70">
      <c r="B70" s="27" t="inlineStr"/>
    </row>
    <row r="71">
      <c r="B71" s="27" t="inlineStr">
        <is>
          <t xml:space="preserve">    wsReport.Cells(row, 2).Value = "Capacity:"</t>
        </is>
      </c>
    </row>
    <row r="72">
      <c r="B72" s="27" t="inlineStr">
        <is>
          <t xml:space="preserve">    wsReport.Cells(row, 3).Value = wsInputs.Range("C8").Value &amp; " MW / " &amp; wsInputs.Range("C10").Value &amp; " MWh"</t>
        </is>
      </c>
    </row>
    <row r="73">
      <c r="B73" s="27" t="inlineStr">
        <is>
          <t xml:space="preserve">    row = row + 1</t>
        </is>
      </c>
    </row>
    <row r="74">
      <c r="B74" s="27" t="inlineStr"/>
    </row>
    <row r="75">
      <c r="B75" s="27" t="inlineStr">
        <is>
          <t xml:space="preserve">    wsReport.Cells(row, 2).Value = "Total Investment:"</t>
        </is>
      </c>
    </row>
    <row r="76">
      <c r="B76" s="27" t="inlineStr">
        <is>
          <t xml:space="preserve">    wsReport.Cells(row, 3).Value = wsResults.Range("C8").Value</t>
        </is>
      </c>
    </row>
    <row r="77">
      <c r="B77" s="27" t="inlineStr">
        <is>
          <t xml:space="preserve">    wsReport.Cells(row, 3).NumberFormat = "$#,##0"</t>
        </is>
      </c>
    </row>
    <row r="78">
      <c r="B78" s="27" t="inlineStr">
        <is>
          <t xml:space="preserve">    row = row + 2</t>
        </is>
      </c>
    </row>
    <row r="79">
      <c r="B79" s="27" t="inlineStr"/>
    </row>
    <row r="80">
      <c r="B80" s="27" t="inlineStr">
        <is>
          <t xml:space="preserve">    ' Key Metrics</t>
        </is>
      </c>
    </row>
    <row r="81">
      <c r="B81" s="27" t="inlineStr">
        <is>
          <t xml:space="preserve">    wsReport.Cells(row, 2).Value = "KEY FINANCIAL METRICS"</t>
        </is>
      </c>
    </row>
    <row r="82">
      <c r="B82" s="27" t="inlineStr">
        <is>
          <t xml:space="preserve">    wsReport.Cells(row, 2).Font.Bold = True</t>
        </is>
      </c>
    </row>
    <row r="83">
      <c r="B83" s="27" t="inlineStr">
        <is>
          <t xml:space="preserve">    wsReport.Cells(row, 2).Font.Size = 14</t>
        </is>
      </c>
    </row>
    <row r="84">
      <c r="B84" s="27" t="inlineStr">
        <is>
          <t xml:space="preserve">    wsReport.Cells(row, 2).Interior.Color = RGB(227, 242, 253)</t>
        </is>
      </c>
    </row>
    <row r="85">
      <c r="B85" s="27" t="inlineStr">
        <is>
          <t xml:space="preserve">    wsReport.Range("B" &amp; row &amp; ":F" &amp; row).Merge</t>
        </is>
      </c>
    </row>
    <row r="86">
      <c r="B86" s="27" t="inlineStr">
        <is>
          <t xml:space="preserve">    row = row + 1</t>
        </is>
      </c>
    </row>
    <row r="87">
      <c r="B87" s="27" t="inlineStr"/>
    </row>
    <row r="88">
      <c r="B88" s="27" t="inlineStr">
        <is>
          <t xml:space="preserve">    wsReport.Cells(row, 2).Value = "Benefit-Cost Ratio (BCR):"</t>
        </is>
      </c>
    </row>
    <row r="89">
      <c r="B89" s="27" t="inlineStr">
        <is>
          <t xml:space="preserve">    wsReport.Cells(row, 3).Value = wsResults.Range("C11").Value</t>
        </is>
      </c>
    </row>
    <row r="90">
      <c r="B90" s="27" t="inlineStr">
        <is>
          <t xml:space="preserve">    wsReport.Cells(row, 3).NumberFormat = "0.00"</t>
        </is>
      </c>
    </row>
    <row r="91">
      <c r="B91" s="27" t="inlineStr">
        <is>
          <t xml:space="preserve">    row = row + 1</t>
        </is>
      </c>
    </row>
    <row r="92">
      <c r="B92" s="27" t="inlineStr"/>
    </row>
    <row r="93">
      <c r="B93" s="27" t="inlineStr">
        <is>
          <t xml:space="preserve">    wsReport.Cells(row, 2).Value = "Net Present Value (NPV):"</t>
        </is>
      </c>
    </row>
    <row r="94">
      <c r="B94" s="27" t="inlineStr">
        <is>
          <t xml:space="preserve">    wsReport.Cells(row, 3).Value = wsResults.Range("C12").Value</t>
        </is>
      </c>
    </row>
    <row r="95">
      <c r="B95" s="27" t="inlineStr">
        <is>
          <t xml:space="preserve">    wsReport.Cells(row, 3).NumberFormat = "$#,##0"</t>
        </is>
      </c>
    </row>
    <row r="96">
      <c r="B96" s="27" t="inlineStr">
        <is>
          <t xml:space="preserve">    row = row + 1</t>
        </is>
      </c>
    </row>
    <row r="97">
      <c r="B97" s="27" t="inlineStr"/>
    </row>
    <row r="98">
      <c r="B98" s="27" t="inlineStr">
        <is>
          <t xml:space="preserve">    wsReport.Cells(row, 2).Value = "Internal Rate of Return (IRR):"</t>
        </is>
      </c>
    </row>
    <row r="99">
      <c r="B99" s="27" t="inlineStr">
        <is>
          <t xml:space="preserve">    wsReport.Cells(row, 3).Value = wsResults.Range("C13").Value</t>
        </is>
      </c>
    </row>
    <row r="100">
      <c r="B100" s="27" t="inlineStr">
        <is>
          <t xml:space="preserve">    wsReport.Cells(row, 3).NumberFormat = "0.0%"</t>
        </is>
      </c>
    </row>
    <row r="101">
      <c r="B101" s="27" t="inlineStr">
        <is>
          <t xml:space="preserve">    row = row + 1</t>
        </is>
      </c>
    </row>
    <row r="102">
      <c r="B102" s="27" t="inlineStr"/>
    </row>
    <row r="103">
      <c r="B103" s="27" t="inlineStr">
        <is>
          <t xml:space="preserve">    wsReport.Cells(row, 2).Value = "Simple Payback Period:"</t>
        </is>
      </c>
    </row>
    <row r="104">
      <c r="B104" s="27" t="inlineStr">
        <is>
          <t xml:space="preserve">    wsReport.Cells(row, 3).Value = wsResults.Range("C14").Value &amp; " years"</t>
        </is>
      </c>
    </row>
    <row r="105">
      <c r="B105" s="27" t="inlineStr">
        <is>
          <t xml:space="preserve">    row = row + 1</t>
        </is>
      </c>
    </row>
    <row r="106">
      <c r="B106" s="27" t="inlineStr"/>
    </row>
    <row r="107">
      <c r="B107" s="27" t="inlineStr">
        <is>
          <t xml:space="preserve">    wsReport.Cells(row, 2).Value = "LCOS:"</t>
        </is>
      </c>
    </row>
    <row r="108">
      <c r="B108" s="27" t="inlineStr">
        <is>
          <t xml:space="preserve">    wsReport.Cells(row, 3).Value = wsResults.Range("C21").Value</t>
        </is>
      </c>
    </row>
    <row r="109">
      <c r="B109" s="27" t="inlineStr">
        <is>
          <t xml:space="preserve">    wsReport.Cells(row, 3).NumberFormat = "$#,##0.00/MWh"</t>
        </is>
      </c>
    </row>
    <row r="110">
      <c r="B110" s="27" t="inlineStr">
        <is>
          <t xml:space="preserve">    row = row + 2</t>
        </is>
      </c>
    </row>
    <row r="111">
      <c r="B111" s="27" t="inlineStr"/>
    </row>
    <row r="112">
      <c r="B112" s="27" t="inlineStr">
        <is>
          <t xml:space="preserve">    ' Recommendation</t>
        </is>
      </c>
    </row>
    <row r="113">
      <c r="B113" s="27" t="inlineStr">
        <is>
          <t xml:space="preserve">    wsReport.Cells(row, 2).Value = "RECOMMENDATION"</t>
        </is>
      </c>
    </row>
    <row r="114">
      <c r="B114" s="27" t="inlineStr">
        <is>
          <t xml:space="preserve">    wsReport.Cells(row, 2).Font.Bold = True</t>
        </is>
      </c>
    </row>
    <row r="115">
      <c r="B115" s="27" t="inlineStr">
        <is>
          <t xml:space="preserve">    wsReport.Cells(row, 2).Font.Size = 14</t>
        </is>
      </c>
    </row>
    <row r="116">
      <c r="B116" s="27" t="inlineStr">
        <is>
          <t xml:space="preserve">    wsReport.Cells(row, 2).Interior.Color = RGB(227, 242, 253)</t>
        </is>
      </c>
    </row>
    <row r="117">
      <c r="B117" s="27" t="inlineStr">
        <is>
          <t xml:space="preserve">    wsReport.Range("B" &amp; row &amp; ":F" &amp; row).Merge</t>
        </is>
      </c>
    </row>
    <row r="118">
      <c r="B118" s="27" t="inlineStr">
        <is>
          <t xml:space="preserve">    row = row + 1</t>
        </is>
      </c>
    </row>
    <row r="119">
      <c r="B119" s="27" t="inlineStr"/>
    </row>
    <row r="120">
      <c r="B120" s="27" t="inlineStr">
        <is>
          <t xml:space="preserve">    wsReport.Cells(row, 2).Value = wsResults.Range("B19").Value</t>
        </is>
      </c>
    </row>
    <row r="121">
      <c r="B121" s="27" t="inlineStr">
        <is>
          <t xml:space="preserve">    wsReport.Cells(row, 2).Font.Bold = True</t>
        </is>
      </c>
    </row>
    <row r="122">
      <c r="B122" s="27" t="inlineStr">
        <is>
          <t xml:space="preserve">    wsReport.Cells(row, 2).Font.Size = 12</t>
        </is>
      </c>
    </row>
    <row r="123">
      <c r="B123" s="27" t="inlineStr">
        <is>
          <t xml:space="preserve">    wsReport.Range("B" &amp; row &amp; ":F" &amp; row).Merge</t>
        </is>
      </c>
    </row>
    <row r="124">
      <c r="B124" s="27" t="inlineStr">
        <is>
          <t xml:space="preserve">    row = row + 2</t>
        </is>
      </c>
    </row>
    <row r="125">
      <c r="B125" s="27" t="inlineStr"/>
    </row>
    <row r="126">
      <c r="B126" s="27" t="inlineStr">
        <is>
          <t xml:space="preserve">    ' Methodology Note</t>
        </is>
      </c>
    </row>
    <row r="127">
      <c r="B127" s="27" t="inlineStr">
        <is>
          <t xml:space="preserve">    wsReport.Cells(row, 2).Value = "METHODOLOGY"</t>
        </is>
      </c>
    </row>
    <row r="128">
      <c r="B128" s="27" t="inlineStr">
        <is>
          <t xml:space="preserve">    wsReport.Cells(row, 2).Font.Bold = True</t>
        </is>
      </c>
    </row>
    <row r="129">
      <c r="B129" s="27" t="inlineStr">
        <is>
          <t xml:space="preserve">    wsReport.Cells(row, 2).Font.Size = 14</t>
        </is>
      </c>
    </row>
    <row r="130">
      <c r="B130" s="27" t="inlineStr">
        <is>
          <t xml:space="preserve">    wsReport.Cells(row, 2).Interior.Color = RGB(227, 242, 253)</t>
        </is>
      </c>
    </row>
    <row r="131">
      <c r="B131" s="27" t="inlineStr">
        <is>
          <t xml:space="preserve">    wsReport.Range("B" &amp; row &amp; ":F" &amp; row).Merge</t>
        </is>
      </c>
    </row>
    <row r="132">
      <c r="B132" s="27" t="inlineStr">
        <is>
          <t xml:space="preserve">    row = row + 1</t>
        </is>
      </c>
    </row>
    <row r="133">
      <c r="B133" s="27" t="inlineStr"/>
    </row>
    <row r="134">
      <c r="B134" s="27" t="inlineStr">
        <is>
          <t xml:space="preserve">    wsReport.Cells(row, 2).Value = "Analysis uses standard DCF methodology per CPUC Standard Practice Manual."</t>
        </is>
      </c>
    </row>
    <row r="135">
      <c r="B135" s="27" t="inlineStr">
        <is>
          <t xml:space="preserve">    row = row + 1</t>
        </is>
      </c>
    </row>
    <row r="136">
      <c r="B136" s="27" t="inlineStr">
        <is>
          <t xml:space="preserve">    wsReport.Cells(row, 2).Value = "BCR = PV(Benefits) / PV(Costs); IRR = rate where NPV = 0"</t>
        </is>
      </c>
    </row>
    <row r="137">
      <c r="B137" s="27" t="inlineStr">
        <is>
          <t xml:space="preserve">    row = row + 1</t>
        </is>
      </c>
    </row>
    <row r="138">
      <c r="B138" s="27" t="inlineStr">
        <is>
          <t xml:space="preserve">    wsReport.Cells(row, 2).Value = "LCOS calculated per Lazard methodology: PV(Costs) / PV(Energy)"</t>
        </is>
      </c>
    </row>
    <row r="139">
      <c r="B139" s="27" t="inlineStr">
        <is>
          <t xml:space="preserve">    row = row + 2</t>
        </is>
      </c>
    </row>
    <row r="140">
      <c r="B140" s="27" t="inlineStr"/>
    </row>
    <row r="141">
      <c r="B141" s="27" t="inlineStr">
        <is>
          <t xml:space="preserve">    ' References</t>
        </is>
      </c>
    </row>
    <row r="142">
      <c r="B142" s="27" t="inlineStr">
        <is>
          <t xml:space="preserve">    wsReport.Cells(row, 2).Value = "REFERENCES"</t>
        </is>
      </c>
    </row>
    <row r="143">
      <c r="B143" s="27" t="inlineStr">
        <is>
          <t xml:space="preserve">    wsReport.Cells(row, 2).Font.Bold = True</t>
        </is>
      </c>
    </row>
    <row r="144">
      <c r="B144" s="27" t="inlineStr">
        <is>
          <t xml:space="preserve">    wsReport.Cells(row, 2).Font.Size = 14</t>
        </is>
      </c>
    </row>
    <row r="145">
      <c r="B145" s="27" t="inlineStr">
        <is>
          <t xml:space="preserve">    wsReport.Cells(row, 2).Interior.Color = RGB(227, 242, 253)</t>
        </is>
      </c>
    </row>
    <row r="146">
      <c r="B146" s="27" t="inlineStr">
        <is>
          <t xml:space="preserve">    wsReport.Range("B" &amp; row &amp; ":F" &amp; row).Merge</t>
        </is>
      </c>
    </row>
    <row r="147">
      <c r="B147" s="27" t="inlineStr">
        <is>
          <t xml:space="preserve">    row = row + 1</t>
        </is>
      </c>
    </row>
    <row r="148">
      <c r="B148" s="27" t="inlineStr"/>
    </row>
    <row r="149">
      <c r="B149" s="27" t="inlineStr">
        <is>
          <t xml:space="preserve">    wsReport.Cells(row, 2).Value = "1. NREL Annual Technology Baseline 2024"</t>
        </is>
      </c>
    </row>
    <row r="150">
      <c r="B150" s="27" t="inlineStr">
        <is>
          <t xml:space="preserve">    row = row + 1</t>
        </is>
      </c>
    </row>
    <row r="151">
      <c r="B151" s="27" t="inlineStr">
        <is>
          <t xml:space="preserve">    wsReport.Cells(row, 2).Value = "2. Lazard LCOS v10.0 (2025)"</t>
        </is>
      </c>
    </row>
    <row r="152">
      <c r="B152" s="27" t="inlineStr">
        <is>
          <t xml:space="preserve">    row = row + 1</t>
        </is>
      </c>
    </row>
    <row r="153">
      <c r="B153" s="27" t="inlineStr">
        <is>
          <t xml:space="preserve">    wsReport.Cells(row, 2).Value = "3. CPUC Standard Practice Manual (2001)"</t>
        </is>
      </c>
    </row>
    <row r="154">
      <c r="B154" s="27" t="inlineStr">
        <is>
          <t xml:space="preserve">    row = row + 1</t>
        </is>
      </c>
    </row>
    <row r="155">
      <c r="B155" s="27" t="inlineStr">
        <is>
          <t xml:space="preserve">    wsReport.Cells(row, 2).Value = "4. Brealey &amp; Myers, Principles of Corporate Finance"</t>
        </is>
      </c>
    </row>
    <row r="156">
      <c r="B156" s="27" t="inlineStr">
        <is>
          <t xml:space="preserve">    row = row + 2</t>
        </is>
      </c>
    </row>
    <row r="157">
      <c r="B157" s="27" t="inlineStr"/>
    </row>
    <row r="158">
      <c r="B158" s="27" t="inlineStr">
        <is>
          <t xml:space="preserve">    ' Adjust column widths</t>
        </is>
      </c>
    </row>
    <row r="159">
      <c r="B159" s="27" t="inlineStr">
        <is>
          <t xml:space="preserve">    wsReport.Columns("B").ColumnWidth = 30</t>
        </is>
      </c>
    </row>
    <row r="160">
      <c r="B160" s="27" t="inlineStr">
        <is>
          <t xml:space="preserve">    wsReport.Columns("C").ColumnWidth = 25</t>
        </is>
      </c>
    </row>
    <row r="161">
      <c r="B161" s="27" t="inlineStr">
        <is>
          <t xml:space="preserve">    wsReport.Columns("D:F").ColumnWidth = 15</t>
        </is>
      </c>
    </row>
    <row r="162">
      <c r="B162" s="27" t="inlineStr"/>
    </row>
    <row r="163">
      <c r="B163" s="27" t="inlineStr">
        <is>
          <t xml:space="preserve">    MsgBox "Report generated on 'Report' sheet. You can print or export to PDF.", vbInformation</t>
        </is>
      </c>
    </row>
    <row r="164">
      <c r="B164" s="27" t="inlineStr"/>
    </row>
    <row r="165">
      <c r="B165" s="27" t="inlineStr">
        <is>
          <t>End Sub</t>
        </is>
      </c>
    </row>
    <row r="166">
      <c r="B166" s="27" t="inlineStr"/>
    </row>
    <row r="167">
      <c r="B167" s="27" t="inlineStr">
        <is>
          <t>Sub ExportToPDF()</t>
        </is>
      </c>
    </row>
    <row r="168">
      <c r="B168" s="27" t="inlineStr">
        <is>
          <t xml:space="preserve">    ' Export the Report sheet to PDF</t>
        </is>
      </c>
    </row>
    <row r="169">
      <c r="B169" s="27" t="inlineStr">
        <is>
          <t xml:space="preserve">    Dim wsReport As Worksheet</t>
        </is>
      </c>
    </row>
    <row r="170">
      <c r="B170" s="27" t="inlineStr">
        <is>
          <t xml:space="preserve">    Dim filePath As String</t>
        </is>
      </c>
    </row>
    <row r="171">
      <c r="B171" s="27" t="inlineStr"/>
    </row>
    <row r="172">
      <c r="B172" s="27" t="inlineStr">
        <is>
          <t xml:space="preserve">    On Error Resume Next</t>
        </is>
      </c>
    </row>
    <row r="173">
      <c r="B173" s="27" t="inlineStr">
        <is>
          <t xml:space="preserve">    Set wsReport = ThisWorkbook.Sheets("Report")</t>
        </is>
      </c>
    </row>
    <row r="174">
      <c r="B174" s="27" t="inlineStr">
        <is>
          <t xml:space="preserve">    On Error GoTo 0</t>
        </is>
      </c>
    </row>
    <row r="175">
      <c r="B175" s="27" t="inlineStr"/>
    </row>
    <row r="176">
      <c r="B176" s="27" t="inlineStr">
        <is>
          <t xml:space="preserve">    If wsReport Is Nothing Then</t>
        </is>
      </c>
    </row>
    <row r="177">
      <c r="B177" s="27" t="inlineStr">
        <is>
          <t xml:space="preserve">        MsgBox "Please run 'Generate Report' first.", vbExclamation</t>
        </is>
      </c>
    </row>
    <row r="178">
      <c r="B178" s="27" t="inlineStr">
        <is>
          <t xml:space="preserve">        Exit Sub</t>
        </is>
      </c>
    </row>
    <row r="179">
      <c r="B179" s="27" t="inlineStr">
        <is>
          <t xml:space="preserve">    End If</t>
        </is>
      </c>
    </row>
    <row r="180">
      <c r="B180" s="27" t="inlineStr"/>
    </row>
    <row r="181">
      <c r="B181" s="27" t="inlineStr">
        <is>
          <t xml:space="preserve">    filePath = Application.GetSaveAsFilename( _</t>
        </is>
      </c>
    </row>
    <row r="182">
      <c r="B182" s="27" t="inlineStr">
        <is>
          <t xml:space="preserve">        InitialFileName:="BESS_Analysis_Report.pdf", _</t>
        </is>
      </c>
    </row>
    <row r="183">
      <c r="B183" s="27" t="inlineStr">
        <is>
          <t xml:space="preserve">        FileFilter:="PDF Files (*.pdf), *.pdf")</t>
        </is>
      </c>
    </row>
    <row r="184">
      <c r="B184" s="27" t="inlineStr"/>
    </row>
    <row r="185">
      <c r="B185" s="27" t="inlineStr">
        <is>
          <t xml:space="preserve">    If filePath &lt;&gt; "False" Then</t>
        </is>
      </c>
    </row>
    <row r="186">
      <c r="B186" s="27" t="inlineStr">
        <is>
          <t xml:space="preserve">        wsReport.ExportAsFixedFormat Type:=xlTypePDF, Filename:=filePath</t>
        </is>
      </c>
    </row>
    <row r="187">
      <c r="B187" s="27" t="inlineStr">
        <is>
          <t xml:space="preserve">        MsgBox "PDF exported to: " &amp; filePath, vbInformation</t>
        </is>
      </c>
    </row>
    <row r="188">
      <c r="B188" s="27" t="inlineStr">
        <is>
          <t xml:space="preserve">    End If</t>
        </is>
      </c>
    </row>
    <row r="189">
      <c r="B189" s="27" t="inlineStr"/>
    </row>
    <row r="190">
      <c r="B190" s="27" t="inlineStr">
        <is>
          <t>End Sub</t>
        </is>
      </c>
    </row>
    <row r="191">
      <c r="B191" s="27" t="inlineStr"/>
    </row>
    <row r="192">
      <c r="B192" s="27" t="inlineStr">
        <is>
          <t>Sub RefreshCalculations()</t>
        </is>
      </c>
    </row>
    <row r="193">
      <c r="B193" s="27" t="inlineStr">
        <is>
          <t xml:space="preserve">    ' Force recalculation of all formulas</t>
        </is>
      </c>
    </row>
    <row r="194">
      <c r="B194" s="27" t="inlineStr">
        <is>
          <t xml:space="preserve">    Application.CalculateFull</t>
        </is>
      </c>
    </row>
    <row r="195">
      <c r="B195" s="27" t="inlineStr">
        <is>
          <t xml:space="preserve">    MsgBox "All calculations refreshed.", vbInformation</t>
        </is>
      </c>
    </row>
    <row r="196">
      <c r="B196" s="27" t="inlineStr">
        <is>
          <t>End Sub</t>
        </is>
      </c>
    </row>
    <row r="197">
      <c r="B197" s="27" t="inlineStr"/>
    </row>
    <row r="198">
      <c r="B198" s="27" t="inlineStr">
        <is>
          <t>Sub LoadNRELLibrary()</t>
        </is>
      </c>
    </row>
    <row r="199">
      <c r="B199" s="27" t="inlineStr">
        <is>
          <t xml:space="preserve">    ' Load NREL ATB 2024 assumptions</t>
        </is>
      </c>
    </row>
    <row r="200">
      <c r="B200" s="27" t="inlineStr">
        <is>
          <t xml:space="preserve">    With ThisWorkbook.Sheets("Inputs")</t>
        </is>
      </c>
    </row>
    <row r="201">
      <c r="B201" s="27" t="inlineStr">
        <is>
          <t xml:space="preserve">        .Range("C14").Value = "NREL ATB 2024 - Moderate"</t>
        </is>
      </c>
    </row>
    <row r="202">
      <c r="B202" s="27" t="inlineStr">
        <is>
          <t xml:space="preserve">        .Range("C17").Value = "LFP"</t>
        </is>
      </c>
    </row>
    <row r="203">
      <c r="B203" s="27" t="inlineStr">
        <is>
          <t xml:space="preserve">        .Range("C18").Value = 0.85</t>
        </is>
      </c>
    </row>
    <row r="204">
      <c r="B204" s="27" t="inlineStr">
        <is>
          <t xml:space="preserve">        .Range("C19").Value = 0.025</t>
        </is>
      </c>
    </row>
    <row r="205">
      <c r="B205" s="27" t="inlineStr">
        <is>
          <t xml:space="preserve">        .Range("C20").Value = 6000</t>
        </is>
      </c>
    </row>
    <row r="206">
      <c r="B206" s="27" t="inlineStr">
        <is>
          <t xml:space="preserve">        .Range("C21").Value = 12</t>
        </is>
      </c>
    </row>
    <row r="207">
      <c r="B207" s="27" t="inlineStr">
        <is>
          <t xml:space="preserve">        .Range("C24").Value = 160</t>
        </is>
      </c>
    </row>
    <row r="208">
      <c r="B208" s="27" t="inlineStr">
        <is>
          <t xml:space="preserve">        .Range("C25").Value = 25</t>
        </is>
      </c>
    </row>
    <row r="209">
      <c r="B209" s="27" t="inlineStr">
        <is>
          <t xml:space="preserve">        .Range("C26").Value = 0</t>
        </is>
      </c>
    </row>
    <row r="210">
      <c r="B210" s="27" t="inlineStr">
        <is>
          <t xml:space="preserve">        .Range("C27").Value = 55</t>
        </is>
      </c>
    </row>
    <row r="211">
      <c r="B211" s="27" t="inlineStr">
        <is>
          <t xml:space="preserve">        .Range("C28").Value = 10</t>
        </is>
      </c>
    </row>
    <row r="212">
      <c r="B212" s="27" t="inlineStr">
        <is>
          <t xml:space="preserve">        ' Benefit streams</t>
        </is>
      </c>
    </row>
    <row r="213">
      <c r="B213" s="27" t="inlineStr">
        <is>
          <t xml:space="preserve">        .Range("C32").Value = 150</t>
        </is>
      </c>
    </row>
    <row r="214">
      <c r="B214" s="27" t="inlineStr">
        <is>
          <t xml:space="preserve">        .Range("D32").Value = 0.02</t>
        </is>
      </c>
    </row>
    <row r="215">
      <c r="B215" s="27" t="inlineStr">
        <is>
          <t xml:space="preserve">        .Range("C33").Value = 40</t>
        </is>
      </c>
    </row>
    <row r="216">
      <c r="B216" s="27" t="inlineStr">
        <is>
          <t xml:space="preserve">        .Range("D33").Value = 0.015</t>
        </is>
      </c>
    </row>
    <row r="217">
      <c r="B217" s="27" t="inlineStr">
        <is>
          <t xml:space="preserve">        .Range("C34").Value = 15</t>
        </is>
      </c>
    </row>
    <row r="218">
      <c r="B218" s="27" t="inlineStr">
        <is>
          <t xml:space="preserve">        .Range("D34").Value = 0.01</t>
        </is>
      </c>
    </row>
    <row r="219">
      <c r="B219" s="27" t="inlineStr">
        <is>
          <t xml:space="preserve">        .Range("C35").Value = 25   ' T&amp;D Deferral</t>
        </is>
      </c>
    </row>
    <row r="220">
      <c r="B220" s="27" t="inlineStr">
        <is>
          <t xml:space="preserve">        .Range("D35").Value = 0.02</t>
        </is>
      </c>
    </row>
    <row r="221">
      <c r="B221" s="27" t="inlineStr">
        <is>
          <t xml:space="preserve">        ' Cost projections (learning curve)</t>
        </is>
      </c>
    </row>
    <row r="222">
      <c r="B222" s="27" t="inlineStr">
        <is>
          <t xml:space="preserve">        .Range("C38").Value = 0.12  ' 12% annual cost decline</t>
        </is>
      </c>
    </row>
    <row r="223">
      <c r="B223" s="27" t="inlineStr">
        <is>
          <t xml:space="preserve">        .Range("C39").Value = 2024  ' Base year</t>
        </is>
      </c>
    </row>
    <row r="224">
      <c r="B224" s="27" t="inlineStr">
        <is>
          <t xml:space="preserve">    End With</t>
        </is>
      </c>
    </row>
    <row r="225">
      <c r="B225" s="27" t="inlineStr">
        <is>
          <t xml:space="preserve">    MsgBox "NREL ATB 2024 assumptions loaded." &amp; vbCrLf &amp; _</t>
        </is>
      </c>
    </row>
    <row r="226">
      <c r="B226" s="27" t="inlineStr">
        <is>
          <t xml:space="preserve">           "Includes 12% annual cost decline for future augmentation.", vbInformation</t>
        </is>
      </c>
    </row>
    <row r="227">
      <c r="B227" s="27" t="inlineStr">
        <is>
          <t>End Sub</t>
        </is>
      </c>
    </row>
    <row r="228">
      <c r="B228" s="27" t="inlineStr"/>
    </row>
    <row r="229">
      <c r="B229" s="27" t="inlineStr">
        <is>
          <t>Sub LoadLazardLibrary()</t>
        </is>
      </c>
    </row>
    <row r="230">
      <c r="B230" s="27" t="inlineStr">
        <is>
          <t xml:space="preserve">    ' Load Lazard LCOS 2025 assumptions</t>
        </is>
      </c>
    </row>
    <row r="231">
      <c r="B231" s="27" t="inlineStr">
        <is>
          <t xml:space="preserve">    With ThisWorkbook.Sheets("Inputs")</t>
        </is>
      </c>
    </row>
    <row r="232">
      <c r="B232" s="27" t="inlineStr">
        <is>
          <t xml:space="preserve">        .Range("C14").Value = "Lazard LCOS 2025"</t>
        </is>
      </c>
    </row>
    <row r="233">
      <c r="B233" s="27" t="inlineStr">
        <is>
          <t xml:space="preserve">        .Range("C17").Value = "LFP"</t>
        </is>
      </c>
    </row>
    <row r="234">
      <c r="B234" s="27" t="inlineStr">
        <is>
          <t xml:space="preserve">        .Range("C18").Value = 0.86</t>
        </is>
      </c>
    </row>
    <row r="235">
      <c r="B235" s="27" t="inlineStr">
        <is>
          <t xml:space="preserve">        .Range("C19").Value = 0.02</t>
        </is>
      </c>
    </row>
    <row r="236">
      <c r="B236" s="27" t="inlineStr">
        <is>
          <t xml:space="preserve">        .Range("C20").Value = 6500</t>
        </is>
      </c>
    </row>
    <row r="237">
      <c r="B237" s="27" t="inlineStr">
        <is>
          <t xml:space="preserve">        .Range("C21").Value = 12</t>
        </is>
      </c>
    </row>
    <row r="238">
      <c r="B238" s="27" t="inlineStr">
        <is>
          <t xml:space="preserve">        .Range("C24").Value = 145</t>
        </is>
      </c>
    </row>
    <row r="239">
      <c r="B239" s="27" t="inlineStr">
        <is>
          <t xml:space="preserve">        .Range("C25").Value = 22</t>
        </is>
      </c>
    </row>
    <row r="240">
      <c r="B240" s="27" t="inlineStr">
        <is>
          <t xml:space="preserve">        .Range("C26").Value = 0.5</t>
        </is>
      </c>
    </row>
    <row r="241">
      <c r="B241" s="27" t="inlineStr">
        <is>
          <t xml:space="preserve">        .Range("C27").Value = 50</t>
        </is>
      </c>
    </row>
    <row r="242">
      <c r="B242" s="27" t="inlineStr">
        <is>
          <t xml:space="preserve">        .Range("C28").Value = 8</t>
        </is>
      </c>
    </row>
    <row r="243">
      <c r="B243" s="27" t="inlineStr">
        <is>
          <t xml:space="preserve">        ' Benefit streams</t>
        </is>
      </c>
    </row>
    <row r="244">
      <c r="B244" s="27" t="inlineStr">
        <is>
          <t xml:space="preserve">        .Range("C32").Value = 140</t>
        </is>
      </c>
    </row>
    <row r="245">
      <c r="B245" s="27" t="inlineStr">
        <is>
          <t xml:space="preserve">        .Range("D32").Value = 0.02</t>
        </is>
      </c>
    </row>
    <row r="246">
      <c r="B246" s="27" t="inlineStr">
        <is>
          <t xml:space="preserve">        .Range("C33").Value = 45</t>
        </is>
      </c>
    </row>
    <row r="247">
      <c r="B247" s="27" t="inlineStr">
        <is>
          <t xml:space="preserve">        .Range("D33").Value = 0.02</t>
        </is>
      </c>
    </row>
    <row r="248">
      <c r="B248" s="27" t="inlineStr">
        <is>
          <t xml:space="preserve">        .Range("C34").Value = 12</t>
        </is>
      </c>
    </row>
    <row r="249">
      <c r="B249" s="27" t="inlineStr">
        <is>
          <t xml:space="preserve">        .Range("D34").Value = 0.01</t>
        </is>
      </c>
    </row>
    <row r="250">
      <c r="B250" s="27" t="inlineStr">
        <is>
          <t xml:space="preserve">        .Range("C35").Value = 20   ' T&amp;D Deferral</t>
        </is>
      </c>
    </row>
    <row r="251">
      <c r="B251" s="27" t="inlineStr">
        <is>
          <t xml:space="preserve">        .Range("D35").Value = 0.015</t>
        </is>
      </c>
    </row>
    <row r="252">
      <c r="B252" s="27" t="inlineStr">
        <is>
          <t xml:space="preserve">        ' Cost projections (learning curve)</t>
        </is>
      </c>
    </row>
    <row r="253">
      <c r="B253" s="27" t="inlineStr">
        <is>
          <t xml:space="preserve">        .Range("C38").Value = 0.10  ' 10% annual cost decline</t>
        </is>
      </c>
    </row>
    <row r="254">
      <c r="B254" s="27" t="inlineStr">
        <is>
          <t xml:space="preserve">        .Range("C39").Value = 2025  ' Base year</t>
        </is>
      </c>
    </row>
    <row r="255">
      <c r="B255" s="27" t="inlineStr">
        <is>
          <t xml:space="preserve">    End With</t>
        </is>
      </c>
    </row>
    <row r="256">
      <c r="B256" s="27" t="inlineStr">
        <is>
          <t xml:space="preserve">    MsgBox "Lazard LCOS 2025 assumptions loaded." &amp; vbCrLf &amp; _</t>
        </is>
      </c>
    </row>
    <row r="257">
      <c r="B257" s="27" t="inlineStr">
        <is>
          <t xml:space="preserve">           "Includes 10% annual cost decline for future augmentation.", vbInformation</t>
        </is>
      </c>
    </row>
    <row r="258">
      <c r="B258" s="27" t="inlineStr">
        <is>
          <t>End Sub</t>
        </is>
      </c>
    </row>
    <row r="259">
      <c r="B259" s="27" t="inlineStr"/>
    </row>
    <row r="260">
      <c r="B260" s="27" t="inlineStr">
        <is>
          <t>Sub LoadCPUCLibrary()</t>
        </is>
      </c>
    </row>
    <row r="261">
      <c r="B261" s="27" t="inlineStr">
        <is>
          <t xml:space="preserve">    ' Load CPUC California 2024 assumptions</t>
        </is>
      </c>
    </row>
    <row r="262">
      <c r="B262" s="27" t="inlineStr">
        <is>
          <t xml:space="preserve">    With ThisWorkbook.Sheets("Inputs")</t>
        </is>
      </c>
    </row>
    <row r="263">
      <c r="B263" s="27" t="inlineStr">
        <is>
          <t xml:space="preserve">        .Range("C14").Value = "CPUC California 2024"</t>
        </is>
      </c>
    </row>
    <row r="264">
      <c r="B264" s="27" t="inlineStr">
        <is>
          <t xml:space="preserve">        .Range("C17").Value = "LFP"</t>
        </is>
      </c>
    </row>
    <row r="265">
      <c r="B265" s="27" t="inlineStr">
        <is>
          <t xml:space="preserve">        .Range("C18").Value = 0.85</t>
        </is>
      </c>
    </row>
    <row r="266">
      <c r="B266" s="27" t="inlineStr">
        <is>
          <t xml:space="preserve">        .Range("C19").Value = 0.025</t>
        </is>
      </c>
    </row>
    <row r="267">
      <c r="B267" s="27" t="inlineStr">
        <is>
          <t xml:space="preserve">        .Range("C20").Value = 6000</t>
        </is>
      </c>
    </row>
    <row r="268">
      <c r="B268" s="27" t="inlineStr">
        <is>
          <t xml:space="preserve">        .Range("C21").Value = 12</t>
        </is>
      </c>
    </row>
    <row r="269">
      <c r="B269" s="27" t="inlineStr">
        <is>
          <t xml:space="preserve">        .Range("C24").Value = 155</t>
        </is>
      </c>
    </row>
    <row r="270">
      <c r="B270" s="27" t="inlineStr">
        <is>
          <t xml:space="preserve">        .Range("C25").Value = 26</t>
        </is>
      </c>
    </row>
    <row r="271">
      <c r="B271" s="27" t="inlineStr">
        <is>
          <t xml:space="preserve">        .Range("C26").Value = 0</t>
        </is>
      </c>
    </row>
    <row r="272">
      <c r="B272" s="27" t="inlineStr">
        <is>
          <t xml:space="preserve">        .Range("C27").Value = 52</t>
        </is>
      </c>
    </row>
    <row r="273">
      <c r="B273" s="27" t="inlineStr">
        <is>
          <t xml:space="preserve">        .Range("C28").Value = 12</t>
        </is>
      </c>
    </row>
    <row r="274">
      <c r="B274" s="27" t="inlineStr">
        <is>
          <t xml:space="preserve">        ' Benefit streams</t>
        </is>
      </c>
    </row>
    <row r="275">
      <c r="B275" s="27" t="inlineStr">
        <is>
          <t xml:space="preserve">        .Range("C32").Value = 180</t>
        </is>
      </c>
    </row>
    <row r="276">
      <c r="B276" s="27" t="inlineStr">
        <is>
          <t xml:space="preserve">        .Range("D32").Value = 0.025</t>
        </is>
      </c>
    </row>
    <row r="277">
      <c r="B277" s="27" t="inlineStr">
        <is>
          <t xml:space="preserve">        .Range("C33").Value = 35</t>
        </is>
      </c>
    </row>
    <row r="278">
      <c r="B278" s="27" t="inlineStr">
        <is>
          <t xml:space="preserve">        .Range("D33").Value = 0.02</t>
        </is>
      </c>
    </row>
    <row r="279">
      <c r="B279" s="27" t="inlineStr">
        <is>
          <t xml:space="preserve">        .Range("C34").Value = 10</t>
        </is>
      </c>
    </row>
    <row r="280">
      <c r="B280" s="27" t="inlineStr">
        <is>
          <t xml:space="preserve">        .Range("D34").Value = 0.01</t>
        </is>
      </c>
    </row>
    <row r="281">
      <c r="B281" s="27" t="inlineStr">
        <is>
          <t xml:space="preserve">        .Range("C35").Value = 25   ' T&amp;D Deferral</t>
        </is>
      </c>
    </row>
    <row r="282">
      <c r="B282" s="27" t="inlineStr">
        <is>
          <t xml:space="preserve">        .Range("D35").Value = 0.015</t>
        </is>
      </c>
    </row>
    <row r="283">
      <c r="B283" s="27" t="inlineStr">
        <is>
          <t xml:space="preserve">        ' Cost projections (learning curve)</t>
        </is>
      </c>
    </row>
    <row r="284">
      <c r="B284" s="27" t="inlineStr">
        <is>
          <t xml:space="preserve">        .Range("C38").Value = 0.11  ' 11% annual cost decline</t>
        </is>
      </c>
    </row>
    <row r="285">
      <c r="B285" s="27" t="inlineStr">
        <is>
          <t xml:space="preserve">        .Range("C39").Value = 2024  ' Base year</t>
        </is>
      </c>
    </row>
    <row r="286">
      <c r="B286" s="27" t="inlineStr">
        <is>
          <t xml:space="preserve">    End With</t>
        </is>
      </c>
    </row>
    <row r="287">
      <c r="B287" s="27" t="inlineStr">
        <is>
          <t xml:space="preserve">    MsgBox "CPUC California 2024 assumptions loaded." &amp; vbCrLf &amp; _</t>
        </is>
      </c>
    </row>
    <row r="288">
      <c r="B288" s="27" t="inlineStr">
        <is>
          <t xml:space="preserve">           "Includes 11% annual cost decline for future augmentation.", vbInformation</t>
        </is>
      </c>
    </row>
    <row r="289">
      <c r="B289" s="27" t="inlineStr">
        <is>
          <t>End Sub</t>
        </is>
      </c>
    </row>
    <row r="292">
      <c r="B292" s="2" t="inlineStr">
        <is>
          <t>ASSIGNING MACROS TO BUTTONS:</t>
        </is>
      </c>
    </row>
    <row r="293">
      <c r="B293" t="inlineStr">
        <is>
          <t>1. Go to Developer tab &gt; Insert &gt; Button (Form Control)</t>
        </is>
      </c>
    </row>
    <row r="294">
      <c r="B294" t="inlineStr">
        <is>
          <t>2. Draw the button on the Inputs sheet</t>
        </is>
      </c>
    </row>
    <row r="295">
      <c r="B295" t="inlineStr">
        <is>
          <t>3. When prompted, select the macro to assign (e.g., 'LoadNRELLibrary')</t>
        </is>
      </c>
    </row>
    <row r="296">
      <c r="B296" t="inlineStr">
        <is>
          <t>4. Right-click button to edit text (e.g., 'Load NREL Library')</t>
        </is>
      </c>
    </row>
    <row r="297">
      <c r="B297" t="inlineStr"/>
    </row>
    <row r="298">
      <c r="B298" t="inlineStr">
        <is>
          <t>Recommended buttons to create:</t>
        </is>
      </c>
    </row>
    <row r="299">
      <c r="B299" t="inlineStr">
        <is>
          <t xml:space="preserve">  - 'Load NREL Library' -&gt; LoadNRELLibrary</t>
        </is>
      </c>
    </row>
    <row r="300">
      <c r="B300" t="inlineStr">
        <is>
          <t xml:space="preserve">  - 'Load Lazard Library' -&gt; LoadLazardLibrary</t>
        </is>
      </c>
    </row>
    <row r="301">
      <c r="B301" t="inlineStr">
        <is>
          <t xml:space="preserve">  - 'Load CPUC Library' -&gt; LoadCPUCLibrary</t>
        </is>
      </c>
    </row>
    <row r="302">
      <c r="B302" t="inlineStr">
        <is>
          <t xml:space="preserve">  - 'Generate Report' -&gt; GenerateReport</t>
        </is>
      </c>
    </row>
    <row r="303">
      <c r="B303" t="inlineStr">
        <is>
          <t xml:space="preserve">  - 'Export to PDF' -&gt; ExportToPDF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2026-02-06T18:46:21Z</dcterms:created>
  <dcterms:modified xsi:type="dcterms:W3CDTF">2026-02-06T18:46:21Z</dcterms:modified>
</cp:coreProperties>
</file>