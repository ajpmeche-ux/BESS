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_Summary" sheetId="1" r:id="rId1"/>
    <sheet name="Scenario_A" sheetId="2" r:id="rId2"/>
    <sheet name="Scenario_B" sheetId="3" r:id="rId3"/>
    <sheet name="Scenario_C" sheetId="4" r:id="rId4"/>
    <sheet name="Cash_Flows" sheetId="5" r:id="rId5"/>
    <sheet name="Value_Stack" sheetId="6" r:id="rId6"/>
    <sheet name="Cost_Inputs" sheetId="7" r:id="rId7"/>
  </sheets>
  <calcPr calcId="124519" fullCalcOnLoad="1"/>
</workbook>
</file>

<file path=xl/sharedStrings.xml><?xml version="1.0" encoding="utf-8"?>
<sst xmlns="http://schemas.openxmlformats.org/spreadsheetml/2006/main" count="324" uniqueCount="157">
  <si>
    <t>FRM April 2026 - BESS Financial Analysis Summary</t>
  </si>
  <si>
    <t>Generated: 2026-02-07 10:37</t>
  </si>
  <si>
    <t>SCENARIO OVERVIEW</t>
  </si>
  <si>
    <t>Scenario</t>
  </si>
  <si>
    <t>Voltage</t>
  </si>
  <si>
    <t>Power</t>
  </si>
  <si>
    <t>Energy</t>
  </si>
  <si>
    <t>Duration</t>
  </si>
  <si>
    <t>Primary Value</t>
  </si>
  <si>
    <t>A: The Urban Modular</t>
  </si>
  <si>
    <t>4.0 kV</t>
  </si>
  <si>
    <t>0.5 MW</t>
  </si>
  <si>
    <t>2.0 MWh</t>
  </si>
  <si>
    <t>4.0 hr</t>
  </si>
  <si>
    <t>Phase Balancing + Resiliency</t>
  </si>
  <si>
    <t>B: The Feeder Relief</t>
  </si>
  <si>
    <t>12.0 kV</t>
  </si>
  <si>
    <t>2.5 MW</t>
  </si>
  <si>
    <t>10.0 MWh</t>
  </si>
  <si>
    <t>Peak Shaving + Deferral</t>
  </si>
  <si>
    <t>C: The Sub-Transmission</t>
  </si>
  <si>
    <t>34.5 kV</t>
  </si>
  <si>
    <t>10.0 MW</t>
  </si>
  <si>
    <t>40.0 MWh</t>
  </si>
  <si>
    <t>Capacity Injection + Arbitrage</t>
  </si>
  <si>
    <t>KEY FINANCIAL METRICS BY SCENARIO &amp; COST VARIATION</t>
  </si>
  <si>
    <t>Metric</t>
  </si>
  <si>
    <t>Scenario A</t>
  </si>
  <si>
    <t>Scenario B</t>
  </si>
  <si>
    <t>Scenario C</t>
  </si>
  <si>
    <t>Turnkey</t>
  </si>
  <si>
    <t>Equip Only</t>
  </si>
  <si>
    <t>Total CapEx</t>
  </si>
  <si>
    <t>Net CapEx (after ITC)</t>
  </si>
  <si>
    <t>NPV</t>
  </si>
  <si>
    <t>BCR</t>
  </si>
  <si>
    <t>IRR</t>
  </si>
  <si>
    <t>Payback (years)</t>
  </si>
  <si>
    <t>LCOS ($/MWh)</t>
  </si>
  <si>
    <t>Year 1 Revenue</t>
  </si>
  <si>
    <t>Year 1 Costs</t>
  </si>
  <si>
    <t>KEY ASSUMPTIONS</t>
  </si>
  <si>
    <t>Discount Rate (WACC)</t>
  </si>
  <si>
    <t>7.0%</t>
  </si>
  <si>
    <t>Analysis Period</t>
  </si>
  <si>
    <t>20 years</t>
  </si>
  <si>
    <t>ITC Rate</t>
  </si>
  <si>
    <t>30%</t>
  </si>
  <si>
    <t>Round-Trip Efficiency</t>
  </si>
  <si>
    <t>85%</t>
  </si>
  <si>
    <t>Annual Degradation</t>
  </si>
  <si>
    <t>2.5%</t>
  </si>
  <si>
    <t>Cycles per Day</t>
  </si>
  <si>
    <t>1.0</t>
  </si>
  <si>
    <t>Turnkey Cost</t>
  </si>
  <si>
    <t>$350/kWh</t>
  </si>
  <si>
    <t>Equipment Only Cost</t>
  </si>
  <si>
    <t>$220/kWh</t>
  </si>
  <si>
    <t>Scenario A: The Urban Modular</t>
  </si>
  <si>
    <t>Small-scale urban deployment for critical load support and distribution phase balancing</t>
  </si>
  <si>
    <t>TECHNICAL SPECIFICATIONS</t>
  </si>
  <si>
    <t>Voltage Class</t>
  </si>
  <si>
    <t>Power Rating</t>
  </si>
  <si>
    <t>0.5 MW (500 kW)</t>
  </si>
  <si>
    <t>Energy Capacity</t>
  </si>
  <si>
    <t>2.0 MWh (2,000 kWh)</t>
  </si>
  <si>
    <t>4.0 hours</t>
  </si>
  <si>
    <t>Primary Value Stream</t>
  </si>
  <si>
    <t>CAPITAL COST COMPARISON</t>
  </si>
  <si>
    <t>Component</t>
  </si>
  <si>
    <t>Equipment Only</t>
  </si>
  <si>
    <t>Equipment/Base Cost</t>
  </si>
  <si>
    <t>Installation</t>
  </si>
  <si>
    <t>Commissioning</t>
  </si>
  <si>
    <t>Engineering</t>
  </si>
  <si>
    <t>ITC Credit</t>
  </si>
  <si>
    <t>Net CapEx</t>
  </si>
  <si>
    <t>Cost per kWh</t>
  </si>
  <si>
    <t>Cost per kW</t>
  </si>
  <si>
    <t>ANNUAL VALUE STACK (YEAR 1)</t>
  </si>
  <si>
    <t>Revenue Stream</t>
  </si>
  <si>
    <t>$/kW-year</t>
  </si>
  <si>
    <t>Annual Value</t>
  </si>
  <si>
    <t>T&amp;D Deferral</t>
  </si>
  <si>
    <t>Energy Arbitrage</t>
  </si>
  <si>
    <t>Resource Adequacy</t>
  </si>
  <si>
    <t>Ancillary Services</t>
  </si>
  <si>
    <t>Voltage Support</t>
  </si>
  <si>
    <t>Resiliency Premium</t>
  </si>
  <si>
    <t>TOTAL</t>
  </si>
  <si>
    <t>FINANCIAL METRICS COMPARISON</t>
  </si>
  <si>
    <t>Net Present Value</t>
  </si>
  <si>
    <t>Benefit-Cost Ratio</t>
  </si>
  <si>
    <t>Internal Rate of Return</t>
  </si>
  <si>
    <t>Payback Period (years)</t>
  </si>
  <si>
    <t>PV of Benefits</t>
  </si>
  <si>
    <t>PV of Costs</t>
  </si>
  <si>
    <t>Scenario B: The Feeder Relief</t>
  </si>
  <si>
    <t>Mid-scale feeder deployment for peak load management and T&amp;D deferral</t>
  </si>
  <si>
    <t>2.5 MW (2,500 kW)</t>
  </si>
  <si>
    <t>10.0 MWh (10,000 kWh)</t>
  </si>
  <si>
    <t>Scenario C: The Sub-Transmission</t>
  </si>
  <si>
    <t>Large-scale sub-transmission deployment for capacity and energy market participation</t>
  </si>
  <si>
    <t>10.0 MW (10,000 kW)</t>
  </si>
  <si>
    <t>40.0 MWh (40,000 kWh)</t>
  </si>
  <si>
    <t>Annual Cash Flow Analysis - All Scenarios</t>
  </si>
  <si>
    <t>Scenario A - Turnkey (EPC Included)</t>
  </si>
  <si>
    <t>Year</t>
  </si>
  <si>
    <t>Costs</t>
  </si>
  <si>
    <t>Benefits</t>
  </si>
  <si>
    <t>Net CF</t>
  </si>
  <si>
    <t>Cumulative</t>
  </si>
  <si>
    <t>Scenario A - Equipment Only</t>
  </si>
  <si>
    <t>Scenario B - Turnkey (EPC Included)</t>
  </si>
  <si>
    <t>Scenario B - Equipment Only</t>
  </si>
  <si>
    <t>Scenario C - Turnkey (EPC Included)</t>
  </si>
  <si>
    <t>Scenario C - Equipment Only</t>
  </si>
  <si>
    <t>Value Stack Components &amp; Assumptions</t>
  </si>
  <si>
    <t>BASE VALUE ASSUMPTIONS ($/kW-year)</t>
  </si>
  <si>
    <t>Low</t>
  </si>
  <si>
    <t>Medium</t>
  </si>
  <si>
    <t>High</t>
  </si>
  <si>
    <t>$12/kW-mo</t>
  </si>
  <si>
    <t>(Scenario A only)</t>
  </si>
  <si>
    <t>SCENARIO VALUE TIER ASSIGNMENTS</t>
  </si>
  <si>
    <t>Deferral Tier</t>
  </si>
  <si>
    <t>Arbitrage Tier</t>
  </si>
  <si>
    <t>Resiliency</t>
  </si>
  <si>
    <t>Yes</t>
  </si>
  <si>
    <t>No</t>
  </si>
  <si>
    <t>Cost Input Assumptions</t>
  </si>
  <si>
    <t>COST VARIATION COMPARISON</t>
  </si>
  <si>
    <t>Parameter</t>
  </si>
  <si>
    <t>Base Equipment ($/kWh)</t>
  </si>
  <si>
    <t>Installation ($/kW)</t>
  </si>
  <si>
    <t>Included</t>
  </si>
  <si>
    <t>Commissioning ($/kW)</t>
  </si>
  <si>
    <t>Engineering (%)</t>
  </si>
  <si>
    <t>8%</t>
  </si>
  <si>
    <t>Includes EPC</t>
  </si>
  <si>
    <t>ITC Eligible</t>
  </si>
  <si>
    <t>OPERATING COST ASSUMPTIONS</t>
  </si>
  <si>
    <t>Fixed O&amp;M</t>
  </si>
  <si>
    <t>$22/kW-year</t>
  </si>
  <si>
    <t>Variable O&amp;M</t>
  </si>
  <si>
    <t>$0.5/MWh</t>
  </si>
  <si>
    <t>Insurance</t>
  </si>
  <si>
    <t>0.5% of CapEx</t>
  </si>
  <si>
    <t>Property Tax</t>
  </si>
  <si>
    <t>1.0% of asset value</t>
  </si>
  <si>
    <t>FINANCIAL PARAMETERS</t>
  </si>
  <si>
    <t>ITC Base Rate</t>
  </si>
  <si>
    <t>Domestic Content Adder</t>
  </si>
  <si>
    <t>10% (if applicable)</t>
  </si>
  <si>
    <t>Inflation Rate</t>
  </si>
  <si>
    <t>TECHNICAL PARAMETERS</t>
  </si>
  <si>
    <t>4 hours (all scenarios)</t>
  </si>
</sst>
</file>

<file path=xl/styles.xml><?xml version="1.0" encoding="utf-8"?>
<styleSheet xmlns="http://schemas.openxmlformats.org/spreadsheetml/2006/main">
  <numFmts count="5">
    <numFmt numFmtId="164" formatCode="$#,##0"/>
    <numFmt numFmtId="165" formatCode="0.00"/>
    <numFmt numFmtId="166" formatCode="0.00%"/>
    <numFmt numFmtId="167" formatCode="#,##0.0"/>
    <numFmt numFmtId="168" formatCode="#,##0.00"/>
  </numFmts>
  <fonts count="8">
    <font>
      <sz val="11"/>
      <color theme="1"/>
      <name val="Calibri"/>
      <family val="2"/>
      <scheme val="minor"/>
    </font>
    <font>
      <b/>
      <sz val="16"/>
      <color rgb="FF1F4E79"/>
      <name val="Calibri"/>
      <family val="2"/>
      <scheme val="minor"/>
    </font>
    <font>
      <b/>
      <sz val="12"/>
      <color rgb="FF2E75B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6DCE4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2" borderId="2" xfId="0" applyFont="1" applyFill="1" applyBorder="1"/>
    <xf numFmtId="0" fontId="4" fillId="3" borderId="3" xfId="0" applyFont="1" applyFill="1" applyBorder="1" applyAlignment="1">
      <alignment horizontal="center" vertical="center" wrapText="1"/>
    </xf>
    <xf numFmtId="0" fontId="3" fillId="0" borderId="0" xfId="0" applyFont="1"/>
    <xf numFmtId="0" fontId="4" fillId="4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right"/>
    </xf>
    <xf numFmtId="165" fontId="5" fillId="6" borderId="0" xfId="0" applyNumberFormat="1" applyFont="1" applyFill="1"/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164" fontId="6" fillId="7" borderId="0" xfId="0" applyNumberFormat="1" applyFont="1" applyFill="1"/>
    <xf numFmtId="164" fontId="7" fillId="6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H35"/>
  <sheetViews>
    <sheetView tabSelected="1" workbookViewId="0"/>
  </sheetViews>
  <sheetFormatPr defaultRowHeight="15"/>
  <cols>
    <col min="1" max="1" width="3.7109375" customWidth="1"/>
    <col min="2" max="2" width="28.7109375" customWidth="1"/>
    <col min="3" max="8" width="16.7109375" customWidth="1"/>
  </cols>
  <sheetData>
    <row r="1" spans="2:8">
      <c r="B1" s="1" t="s">
        <v>0</v>
      </c>
      <c r="C1" s="1"/>
      <c r="D1" s="1"/>
      <c r="E1" s="1"/>
      <c r="F1" s="1"/>
      <c r="G1" s="1"/>
      <c r="H1" s="1"/>
    </row>
    <row r="3" spans="2:8">
      <c r="B3" s="2" t="s">
        <v>1</v>
      </c>
    </row>
    <row r="5" spans="2:8">
      <c r="B5" s="3" t="s">
        <v>2</v>
      </c>
      <c r="C5" s="3"/>
      <c r="D5" s="3"/>
      <c r="E5" s="3"/>
      <c r="F5" s="3"/>
      <c r="G5" s="3"/>
      <c r="H5" s="3"/>
    </row>
    <row r="7" spans="2:8">
      <c r="B7" s="4" t="s">
        <v>3</v>
      </c>
      <c r="C7" s="4" t="s">
        <v>4</v>
      </c>
      <c r="D7" s="4" t="s">
        <v>5</v>
      </c>
      <c r="E7" s="4" t="s">
        <v>6</v>
      </c>
      <c r="F7" s="4" t="s">
        <v>7</v>
      </c>
      <c r="G7" s="4" t="s">
        <v>8</v>
      </c>
    </row>
    <row r="8" spans="2:8">
      <c r="B8" s="5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</row>
    <row r="9" spans="2:8">
      <c r="B9" s="5" t="s">
        <v>15</v>
      </c>
      <c r="C9" t="s">
        <v>16</v>
      </c>
      <c r="D9" t="s">
        <v>17</v>
      </c>
      <c r="E9" t="s">
        <v>18</v>
      </c>
      <c r="F9" t="s">
        <v>13</v>
      </c>
      <c r="G9" t="s">
        <v>19</v>
      </c>
    </row>
    <row r="10" spans="2:8">
      <c r="B10" s="5" t="s">
        <v>20</v>
      </c>
      <c r="C10" t="s">
        <v>21</v>
      </c>
      <c r="D10" t="s">
        <v>22</v>
      </c>
      <c r="E10" t="s">
        <v>23</v>
      </c>
      <c r="F10" t="s">
        <v>13</v>
      </c>
      <c r="G10" t="s">
        <v>24</v>
      </c>
    </row>
    <row r="12" spans="2:8">
      <c r="B12" s="3" t="s">
        <v>25</v>
      </c>
      <c r="C12" s="3"/>
      <c r="D12" s="3"/>
      <c r="E12" s="3"/>
      <c r="F12" s="3"/>
      <c r="G12" s="3"/>
      <c r="H12" s="3"/>
    </row>
    <row r="14" spans="2:8">
      <c r="B14" s="4" t="s">
        <v>26</v>
      </c>
      <c r="C14" s="4" t="s">
        <v>27</v>
      </c>
      <c r="D14" s="4"/>
      <c r="E14" s="4" t="s">
        <v>28</v>
      </c>
      <c r="F14" s="4"/>
      <c r="G14" s="4" t="s">
        <v>29</v>
      </c>
      <c r="H14" s="4"/>
    </row>
    <row r="15" spans="2:8">
      <c r="B15" s="4"/>
      <c r="C15" s="6" t="s">
        <v>30</v>
      </c>
      <c r="D15" s="7" t="s">
        <v>31</v>
      </c>
      <c r="E15" s="6" t="s">
        <v>30</v>
      </c>
      <c r="F15" s="7" t="s">
        <v>31</v>
      </c>
      <c r="G15" s="6" t="s">
        <v>30</v>
      </c>
      <c r="H15" s="7" t="s">
        <v>31</v>
      </c>
    </row>
    <row r="16" spans="2:8">
      <c r="B16" s="5" t="s">
        <v>32</v>
      </c>
      <c r="C16" s="8">
        <v>700000</v>
      </c>
      <c r="D16" s="8">
        <v>527700</v>
      </c>
      <c r="E16" s="8">
        <v>3500000</v>
      </c>
      <c r="F16" s="8">
        <v>2638500</v>
      </c>
      <c r="G16" s="8">
        <v>14000000</v>
      </c>
      <c r="H16" s="8">
        <v>10554000</v>
      </c>
    </row>
    <row r="17" spans="2:8">
      <c r="B17" s="5" t="s">
        <v>33</v>
      </c>
      <c r="C17" s="8">
        <v>490000</v>
      </c>
      <c r="D17" s="8">
        <v>369390</v>
      </c>
      <c r="E17" s="8">
        <v>2450000</v>
      </c>
      <c r="F17" s="8">
        <v>1846950</v>
      </c>
      <c r="G17" s="8">
        <v>9800000</v>
      </c>
      <c r="H17" s="8">
        <v>7387800</v>
      </c>
    </row>
    <row r="18" spans="2:8">
      <c r="B18" s="5" t="s">
        <v>34</v>
      </c>
      <c r="C18" s="8">
        <v>649615.225961254</v>
      </c>
      <c r="D18" s="8">
        <v>790015.3759457832</v>
      </c>
      <c r="E18" s="8">
        <v>2984432.899038648</v>
      </c>
      <c r="F18" s="8">
        <v>3686433.648961294</v>
      </c>
      <c r="G18" s="8">
        <v>10883158.6730841</v>
      </c>
      <c r="H18" s="8">
        <v>13691161.67277469</v>
      </c>
    </row>
    <row r="19" spans="2:8">
      <c r="B19" s="5" t="s">
        <v>35</v>
      </c>
      <c r="C19" s="9">
        <v>1.94189125301239</v>
      </c>
      <c r="D19" s="9">
        <v>2.438242384764066</v>
      </c>
      <c r="E19" s="9">
        <v>1.86543884147647</v>
      </c>
      <c r="F19" s="9">
        <v>2.342248590088315</v>
      </c>
      <c r="G19" s="9">
        <v>1.788986429940549</v>
      </c>
      <c r="H19" s="9">
        <v>2.246254795412564</v>
      </c>
    </row>
    <row r="20" spans="2:8">
      <c r="B20" s="5" t="s">
        <v>36</v>
      </c>
      <c r="C20" s="10">
        <v>0.2132426227079756</v>
      </c>
      <c r="D20" s="10">
        <v>0.292451812472579</v>
      </c>
      <c r="E20" s="10">
        <v>0.2025254547154169</v>
      </c>
      <c r="F20" s="10">
        <v>0.2787012034787861</v>
      </c>
      <c r="G20" s="10">
        <v>0.1917245083450665</v>
      </c>
      <c r="H20" s="10">
        <v>0.2648990016219144</v>
      </c>
    </row>
    <row r="21" spans="2:8">
      <c r="B21" s="5" t="s">
        <v>37</v>
      </c>
      <c r="C21" s="11">
        <v>4.620438614345458</v>
      </c>
      <c r="D21" s="11">
        <v>3.411539949330492</v>
      </c>
      <c r="E21" s="11">
        <v>4.847416645984778</v>
      </c>
      <c r="F21" s="11">
        <v>3.576024186012121</v>
      </c>
      <c r="G21" s="11">
        <v>5.097527351645446</v>
      </c>
      <c r="H21" s="11">
        <v>3.757153546375521</v>
      </c>
    </row>
    <row r="22" spans="2:8">
      <c r="B22" s="5" t="s">
        <v>38</v>
      </c>
      <c r="C22" s="8">
        <v>125.0731529865333</v>
      </c>
      <c r="D22" s="8">
        <v>99.61210718381122</v>
      </c>
      <c r="E22" s="8">
        <v>125.0731529865333</v>
      </c>
      <c r="F22" s="8">
        <v>99.61210718381123</v>
      </c>
      <c r="G22" s="8">
        <v>125.0731529865333</v>
      </c>
      <c r="H22" s="8">
        <v>99.61210718381123</v>
      </c>
    </row>
    <row r="23" spans="2:8">
      <c r="B23" s="5" t="s">
        <v>39</v>
      </c>
      <c r="C23" s="8">
        <v>127000</v>
      </c>
      <c r="D23" s="8">
        <v>127000</v>
      </c>
      <c r="E23" s="8">
        <v>610000</v>
      </c>
      <c r="F23" s="8">
        <v>610000</v>
      </c>
      <c r="G23" s="8">
        <v>2340000</v>
      </c>
      <c r="H23" s="8">
        <v>2340000</v>
      </c>
    </row>
    <row r="24" spans="2:8">
      <c r="B24" s="5" t="s">
        <v>40</v>
      </c>
      <c r="C24" s="8">
        <v>21460.25</v>
      </c>
      <c r="D24" s="8">
        <v>18961.9</v>
      </c>
      <c r="E24" s="8">
        <v>107301.25</v>
      </c>
      <c r="F24" s="8">
        <v>94809.5</v>
      </c>
      <c r="G24" s="8">
        <v>429205</v>
      </c>
      <c r="H24" s="8">
        <v>379238</v>
      </c>
    </row>
    <row r="26" spans="2:8">
      <c r="B26" s="3" t="s">
        <v>41</v>
      </c>
      <c r="C26" s="3"/>
      <c r="D26" s="3"/>
      <c r="E26" s="3"/>
    </row>
    <row r="28" spans="2:8">
      <c r="B28" s="5" t="s">
        <v>42</v>
      </c>
      <c r="C28" t="s">
        <v>43</v>
      </c>
    </row>
    <row r="29" spans="2:8">
      <c r="B29" s="5" t="s">
        <v>44</v>
      </c>
      <c r="C29" t="s">
        <v>45</v>
      </c>
    </row>
    <row r="30" spans="2:8">
      <c r="B30" s="5" t="s">
        <v>46</v>
      </c>
      <c r="C30" t="s">
        <v>47</v>
      </c>
    </row>
    <row r="31" spans="2:8">
      <c r="B31" s="5" t="s">
        <v>48</v>
      </c>
      <c r="C31" t="s">
        <v>49</v>
      </c>
    </row>
    <row r="32" spans="2:8">
      <c r="B32" s="5" t="s">
        <v>50</v>
      </c>
      <c r="C32" t="s">
        <v>51</v>
      </c>
    </row>
    <row r="33" spans="2:3">
      <c r="B33" s="5" t="s">
        <v>52</v>
      </c>
      <c r="C33" t="s">
        <v>53</v>
      </c>
    </row>
    <row r="34" spans="2:3">
      <c r="B34" s="5" t="s">
        <v>54</v>
      </c>
      <c r="C34" t="s">
        <v>55</v>
      </c>
    </row>
    <row r="35" spans="2:3">
      <c r="B35" s="5" t="s">
        <v>56</v>
      </c>
      <c r="C35" t="s">
        <v>57</v>
      </c>
    </row>
  </sheetData>
  <mergeCells count="7">
    <mergeCell ref="B1:H1"/>
    <mergeCell ref="B5:H5"/>
    <mergeCell ref="B12:H12"/>
    <mergeCell ref="C14:D14"/>
    <mergeCell ref="E14:F14"/>
    <mergeCell ref="G14:H14"/>
    <mergeCell ref="B26:E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F44"/>
  <sheetViews>
    <sheetView workbookViewId="0"/>
  </sheetViews>
  <sheetFormatPr defaultRowHeight="15"/>
  <cols>
    <col min="1" max="1" width="3.7109375" customWidth="1"/>
    <col min="2" max="2" width="30.7109375" customWidth="1"/>
    <col min="3" max="6" width="18.7109375" customWidth="1"/>
  </cols>
  <sheetData>
    <row r="1" spans="2:6">
      <c r="B1" s="1" t="s">
        <v>58</v>
      </c>
      <c r="C1" s="1"/>
      <c r="D1" s="1"/>
      <c r="E1" s="1"/>
      <c r="F1" s="1"/>
    </row>
    <row r="3" spans="2:6">
      <c r="B3" t="s">
        <v>59</v>
      </c>
    </row>
    <row r="5" spans="2:6">
      <c r="B5" s="3" t="s">
        <v>60</v>
      </c>
      <c r="C5" s="3"/>
      <c r="D5" s="3"/>
    </row>
    <row r="7" spans="2:6">
      <c r="B7" s="5" t="s">
        <v>61</v>
      </c>
      <c r="C7" t="s">
        <v>10</v>
      </c>
    </row>
    <row r="8" spans="2:6">
      <c r="B8" s="5" t="s">
        <v>62</v>
      </c>
      <c r="C8" t="s">
        <v>63</v>
      </c>
    </row>
    <row r="9" spans="2:6">
      <c r="B9" s="5" t="s">
        <v>64</v>
      </c>
      <c r="C9" t="s">
        <v>65</v>
      </c>
    </row>
    <row r="10" spans="2:6">
      <c r="B10" s="5" t="s">
        <v>7</v>
      </c>
      <c r="C10" t="s">
        <v>66</v>
      </c>
    </row>
    <row r="11" spans="2:6">
      <c r="B11" s="5" t="s">
        <v>67</v>
      </c>
      <c r="C11" t="s">
        <v>14</v>
      </c>
    </row>
    <row r="12" spans="2:6">
      <c r="B12" s="3" t="s">
        <v>68</v>
      </c>
      <c r="C12" s="3"/>
      <c r="D12" s="3"/>
    </row>
    <row r="14" spans="2:6">
      <c r="B14" s="4" t="s">
        <v>69</v>
      </c>
      <c r="C14" s="6" t="s">
        <v>30</v>
      </c>
      <c r="D14" s="7" t="s">
        <v>70</v>
      </c>
    </row>
    <row r="15" spans="2:6">
      <c r="B15" s="5" t="s">
        <v>71</v>
      </c>
      <c r="C15" s="8">
        <v>700000</v>
      </c>
      <c r="D15" s="8">
        <v>440000</v>
      </c>
    </row>
    <row r="16" spans="2:6">
      <c r="B16" s="5" t="s">
        <v>72</v>
      </c>
      <c r="C16" s="8">
        <v>0</v>
      </c>
      <c r="D16" s="8">
        <v>40000</v>
      </c>
    </row>
    <row r="17" spans="2:4">
      <c r="B17" s="5" t="s">
        <v>73</v>
      </c>
      <c r="C17" s="8">
        <v>0</v>
      </c>
      <c r="D17" s="8">
        <v>12500</v>
      </c>
    </row>
    <row r="18" spans="2:4">
      <c r="B18" s="5" t="s">
        <v>74</v>
      </c>
      <c r="C18" s="8">
        <v>0</v>
      </c>
      <c r="D18" s="8">
        <v>35200</v>
      </c>
    </row>
    <row r="19" spans="2:4">
      <c r="B19" s="5" t="s">
        <v>32</v>
      </c>
      <c r="C19" s="8">
        <v>700000</v>
      </c>
      <c r="D19" s="8">
        <v>527700</v>
      </c>
    </row>
    <row r="20" spans="2:4">
      <c r="B20" s="5" t="s">
        <v>75</v>
      </c>
      <c r="C20" s="8">
        <v>-210000</v>
      </c>
      <c r="D20" s="8">
        <v>-158310</v>
      </c>
    </row>
    <row r="21" spans="2:4">
      <c r="B21" s="5" t="s">
        <v>76</v>
      </c>
      <c r="C21" s="8">
        <v>490000</v>
      </c>
      <c r="D21" s="8">
        <v>369390</v>
      </c>
    </row>
    <row r="23" spans="2:4">
      <c r="B23" s="5" t="s">
        <v>77</v>
      </c>
      <c r="C23" s="8">
        <v>350</v>
      </c>
      <c r="D23" s="8">
        <v>263.85</v>
      </c>
    </row>
    <row r="24" spans="2:4">
      <c r="B24" s="5" t="s">
        <v>78</v>
      </c>
      <c r="C24" s="8">
        <v>1400</v>
      </c>
      <c r="D24" s="8">
        <v>1055.4</v>
      </c>
    </row>
    <row r="25" spans="2:4">
      <c r="B25" s="3" t="s">
        <v>79</v>
      </c>
      <c r="C25" s="3"/>
      <c r="D25" s="3"/>
    </row>
    <row r="27" spans="2:4">
      <c r="B27" s="4" t="s">
        <v>80</v>
      </c>
      <c r="C27" s="4" t="s">
        <v>81</v>
      </c>
      <c r="D27" s="4" t="s">
        <v>82</v>
      </c>
    </row>
    <row r="28" spans="2:4">
      <c r="B28" t="s">
        <v>83</v>
      </c>
      <c r="C28" s="8">
        <v>45</v>
      </c>
      <c r="D28" s="8">
        <v>22500</v>
      </c>
    </row>
    <row r="29" spans="2:4">
      <c r="B29" t="s">
        <v>84</v>
      </c>
      <c r="C29" s="8">
        <v>20</v>
      </c>
      <c r="D29" s="8">
        <v>10000</v>
      </c>
    </row>
    <row r="30" spans="2:4">
      <c r="B30" t="s">
        <v>85</v>
      </c>
      <c r="C30" s="8">
        <v>144</v>
      </c>
      <c r="D30" s="8">
        <v>72000</v>
      </c>
    </row>
    <row r="31" spans="2:4">
      <c r="B31" t="s">
        <v>86</v>
      </c>
      <c r="C31" s="8">
        <v>12</v>
      </c>
      <c r="D31" s="8">
        <v>6000</v>
      </c>
    </row>
    <row r="32" spans="2:4">
      <c r="B32" t="s">
        <v>87</v>
      </c>
      <c r="C32" s="8">
        <v>8</v>
      </c>
      <c r="D32" s="8">
        <v>4000</v>
      </c>
    </row>
    <row r="33" spans="2:4">
      <c r="B33" t="s">
        <v>88</v>
      </c>
      <c r="C33" s="8">
        <v>25</v>
      </c>
      <c r="D33" s="8">
        <v>12500</v>
      </c>
    </row>
    <row r="34" spans="2:4">
      <c r="B34" s="5" t="s">
        <v>89</v>
      </c>
      <c r="C34" s="8">
        <v>254</v>
      </c>
      <c r="D34" s="8">
        <v>127000</v>
      </c>
    </row>
    <row r="35" spans="2:4">
      <c r="B35" s="3" t="s">
        <v>90</v>
      </c>
      <c r="C35" s="3"/>
      <c r="D35" s="3"/>
    </row>
    <row r="37" spans="2:4">
      <c r="B37" s="4" t="s">
        <v>26</v>
      </c>
      <c r="C37" s="6" t="s">
        <v>30</v>
      </c>
      <c r="D37" s="7" t="s">
        <v>70</v>
      </c>
    </row>
    <row r="38" spans="2:4">
      <c r="B38" s="5" t="s">
        <v>91</v>
      </c>
      <c r="C38" s="8">
        <v>649615.225961254</v>
      </c>
      <c r="D38" s="8">
        <v>790015.3759457832</v>
      </c>
    </row>
    <row r="39" spans="2:4">
      <c r="B39" s="5" t="s">
        <v>92</v>
      </c>
      <c r="C39" s="12">
        <v>1.94189125301239</v>
      </c>
      <c r="D39" s="12">
        <v>2.438242384764066</v>
      </c>
    </row>
    <row r="40" spans="2:4">
      <c r="B40" s="5" t="s">
        <v>93</v>
      </c>
      <c r="C40" s="10">
        <v>0.2132426227079756</v>
      </c>
      <c r="D40" s="10">
        <v>0.292451812472579</v>
      </c>
    </row>
    <row r="41" spans="2:4">
      <c r="B41" s="5" t="s">
        <v>94</v>
      </c>
      <c r="C41" s="11">
        <v>4.620438614345458</v>
      </c>
      <c r="D41" s="11">
        <v>3.411539949330492</v>
      </c>
    </row>
    <row r="42" spans="2:4">
      <c r="B42" s="5" t="s">
        <v>38</v>
      </c>
      <c r="C42" s="8">
        <v>125.0731529865333</v>
      </c>
      <c r="D42" s="8">
        <v>99.61210718381122</v>
      </c>
    </row>
    <row r="43" spans="2:4">
      <c r="B43" s="5" t="s">
        <v>95</v>
      </c>
      <c r="C43" s="8">
        <v>1339307.612299519</v>
      </c>
      <c r="D43" s="8">
        <v>1339307.612299519</v>
      </c>
    </row>
    <row r="44" spans="2:4">
      <c r="B44" s="5" t="s">
        <v>96</v>
      </c>
      <c r="C44" s="8">
        <v>689692.3863382648</v>
      </c>
      <c r="D44" s="8">
        <v>549292.2363537354</v>
      </c>
    </row>
  </sheetData>
  <mergeCells count="5">
    <mergeCell ref="B1:F1"/>
    <mergeCell ref="B5:D5"/>
    <mergeCell ref="B12:D12"/>
    <mergeCell ref="B25:D25"/>
    <mergeCell ref="B35:D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F44"/>
  <sheetViews>
    <sheetView workbookViewId="0"/>
  </sheetViews>
  <sheetFormatPr defaultRowHeight="15"/>
  <cols>
    <col min="1" max="1" width="3.7109375" customWidth="1"/>
    <col min="2" max="2" width="30.7109375" customWidth="1"/>
    <col min="3" max="6" width="18.7109375" customWidth="1"/>
  </cols>
  <sheetData>
    <row r="1" spans="2:6">
      <c r="B1" s="1" t="s">
        <v>97</v>
      </c>
      <c r="C1" s="1"/>
      <c r="D1" s="1"/>
      <c r="E1" s="1"/>
      <c r="F1" s="1"/>
    </row>
    <row r="3" spans="2:6">
      <c r="B3" t="s">
        <v>98</v>
      </c>
    </row>
    <row r="5" spans="2:6">
      <c r="B5" s="3" t="s">
        <v>60</v>
      </c>
      <c r="C5" s="3"/>
      <c r="D5" s="3"/>
    </row>
    <row r="7" spans="2:6">
      <c r="B7" s="5" t="s">
        <v>61</v>
      </c>
      <c r="C7" t="s">
        <v>16</v>
      </c>
    </row>
    <row r="8" spans="2:6">
      <c r="B8" s="5" t="s">
        <v>62</v>
      </c>
      <c r="C8" t="s">
        <v>99</v>
      </c>
    </row>
    <row r="9" spans="2:6">
      <c r="B9" s="5" t="s">
        <v>64</v>
      </c>
      <c r="C9" t="s">
        <v>100</v>
      </c>
    </row>
    <row r="10" spans="2:6">
      <c r="B10" s="5" t="s">
        <v>7</v>
      </c>
      <c r="C10" t="s">
        <v>66</v>
      </c>
    </row>
    <row r="11" spans="2:6">
      <c r="B11" s="5" t="s">
        <v>67</v>
      </c>
      <c r="C11" t="s">
        <v>19</v>
      </c>
    </row>
    <row r="12" spans="2:6">
      <c r="B12" s="3" t="s">
        <v>68</v>
      </c>
      <c r="C12" s="3"/>
      <c r="D12" s="3"/>
    </row>
    <row r="14" spans="2:6">
      <c r="B14" s="4" t="s">
        <v>69</v>
      </c>
      <c r="C14" s="6" t="s">
        <v>30</v>
      </c>
      <c r="D14" s="7" t="s">
        <v>70</v>
      </c>
    </row>
    <row r="15" spans="2:6">
      <c r="B15" s="5" t="s">
        <v>71</v>
      </c>
      <c r="C15" s="8">
        <v>3500000</v>
      </c>
      <c r="D15" s="8">
        <v>2200000</v>
      </c>
    </row>
    <row r="16" spans="2:6">
      <c r="B16" s="5" t="s">
        <v>72</v>
      </c>
      <c r="C16" s="8">
        <v>0</v>
      </c>
      <c r="D16" s="8">
        <v>200000</v>
      </c>
    </row>
    <row r="17" spans="2:4">
      <c r="B17" s="5" t="s">
        <v>73</v>
      </c>
      <c r="C17" s="8">
        <v>0</v>
      </c>
      <c r="D17" s="8">
        <v>62500</v>
      </c>
    </row>
    <row r="18" spans="2:4">
      <c r="B18" s="5" t="s">
        <v>74</v>
      </c>
      <c r="C18" s="8">
        <v>0</v>
      </c>
      <c r="D18" s="8">
        <v>176000</v>
      </c>
    </row>
    <row r="19" spans="2:4">
      <c r="B19" s="5" t="s">
        <v>32</v>
      </c>
      <c r="C19" s="8">
        <v>3500000</v>
      </c>
      <c r="D19" s="8">
        <v>2638500</v>
      </c>
    </row>
    <row r="20" spans="2:4">
      <c r="B20" s="5" t="s">
        <v>75</v>
      </c>
      <c r="C20" s="8">
        <v>-1050000</v>
      </c>
      <c r="D20" s="8">
        <v>-791550</v>
      </c>
    </row>
    <row r="21" spans="2:4">
      <c r="B21" s="5" t="s">
        <v>76</v>
      </c>
      <c r="C21" s="8">
        <v>2450000</v>
      </c>
      <c r="D21" s="8">
        <v>1846950</v>
      </c>
    </row>
    <row r="23" spans="2:4">
      <c r="B23" s="5" t="s">
        <v>77</v>
      </c>
      <c r="C23" s="8">
        <v>350</v>
      </c>
      <c r="D23" s="8">
        <v>263.85</v>
      </c>
    </row>
    <row r="24" spans="2:4">
      <c r="B24" s="5" t="s">
        <v>78</v>
      </c>
      <c r="C24" s="8">
        <v>1400</v>
      </c>
      <c r="D24" s="8">
        <v>1055.4</v>
      </c>
    </row>
    <row r="25" spans="2:4">
      <c r="B25" s="3" t="s">
        <v>79</v>
      </c>
      <c r="C25" s="3"/>
      <c r="D25" s="3"/>
    </row>
    <row r="27" spans="2:4">
      <c r="B27" s="4" t="s">
        <v>80</v>
      </c>
      <c r="C27" s="4" t="s">
        <v>81</v>
      </c>
      <c r="D27" s="4" t="s">
        <v>82</v>
      </c>
    </row>
    <row r="28" spans="2:4">
      <c r="B28" t="s">
        <v>83</v>
      </c>
      <c r="C28" s="8">
        <v>45</v>
      </c>
      <c r="D28" s="8">
        <v>112500</v>
      </c>
    </row>
    <row r="29" spans="2:4">
      <c r="B29" t="s">
        <v>84</v>
      </c>
      <c r="C29" s="8">
        <v>35</v>
      </c>
      <c r="D29" s="8">
        <v>87500</v>
      </c>
    </row>
    <row r="30" spans="2:4">
      <c r="B30" t="s">
        <v>85</v>
      </c>
      <c r="C30" s="8">
        <v>144</v>
      </c>
      <c r="D30" s="8">
        <v>360000</v>
      </c>
    </row>
    <row r="31" spans="2:4">
      <c r="B31" t="s">
        <v>86</v>
      </c>
      <c r="C31" s="8">
        <v>12</v>
      </c>
      <c r="D31" s="8">
        <v>30000</v>
      </c>
    </row>
    <row r="32" spans="2:4">
      <c r="B32" t="s">
        <v>87</v>
      </c>
      <c r="C32" s="8">
        <v>8</v>
      </c>
      <c r="D32" s="8">
        <v>20000</v>
      </c>
    </row>
    <row r="33" spans="2:4">
      <c r="B33" t="s">
        <v>88</v>
      </c>
      <c r="C33" s="8">
        <v>0</v>
      </c>
      <c r="D33" s="8">
        <v>0</v>
      </c>
    </row>
    <row r="34" spans="2:4">
      <c r="B34" s="5" t="s">
        <v>89</v>
      </c>
      <c r="C34" s="8">
        <v>244</v>
      </c>
      <c r="D34" s="8">
        <v>610000</v>
      </c>
    </row>
    <row r="35" spans="2:4">
      <c r="B35" s="3" t="s">
        <v>90</v>
      </c>
      <c r="C35" s="3"/>
      <c r="D35" s="3"/>
    </row>
    <row r="37" spans="2:4">
      <c r="B37" s="4" t="s">
        <v>26</v>
      </c>
      <c r="C37" s="6" t="s">
        <v>30</v>
      </c>
      <c r="D37" s="7" t="s">
        <v>70</v>
      </c>
    </row>
    <row r="38" spans="2:4">
      <c r="B38" s="5" t="s">
        <v>91</v>
      </c>
      <c r="C38" s="8">
        <v>2984432.899038648</v>
      </c>
      <c r="D38" s="8">
        <v>3686433.648961294</v>
      </c>
    </row>
    <row r="39" spans="2:4">
      <c r="B39" s="5" t="s">
        <v>92</v>
      </c>
      <c r="C39" s="12">
        <v>1.86543884147647</v>
      </c>
      <c r="D39" s="12">
        <v>2.342248590088315</v>
      </c>
    </row>
    <row r="40" spans="2:4">
      <c r="B40" s="5" t="s">
        <v>93</v>
      </c>
      <c r="C40" s="10">
        <v>0.2025254547154169</v>
      </c>
      <c r="D40" s="10">
        <v>0.2787012034787861</v>
      </c>
    </row>
    <row r="41" spans="2:4">
      <c r="B41" s="5" t="s">
        <v>94</v>
      </c>
      <c r="C41" s="11">
        <v>4.847416645984778</v>
      </c>
      <c r="D41" s="11">
        <v>3.576024186012121</v>
      </c>
    </row>
    <row r="42" spans="2:4">
      <c r="B42" s="5" t="s">
        <v>38</v>
      </c>
      <c r="C42" s="8">
        <v>125.0731529865333</v>
      </c>
      <c r="D42" s="8">
        <v>99.61210718381123</v>
      </c>
    </row>
    <row r="43" spans="2:4">
      <c r="B43" s="5" t="s">
        <v>95</v>
      </c>
      <c r="C43" s="8">
        <v>6432894.830729972</v>
      </c>
      <c r="D43" s="8">
        <v>6432894.830729972</v>
      </c>
    </row>
    <row r="44" spans="2:4">
      <c r="B44" s="5" t="s">
        <v>96</v>
      </c>
      <c r="C44" s="8">
        <v>3448461.931691324</v>
      </c>
      <c r="D44" s="8">
        <v>2746461.181768677</v>
      </c>
    </row>
  </sheetData>
  <mergeCells count="5">
    <mergeCell ref="B1:F1"/>
    <mergeCell ref="B5:D5"/>
    <mergeCell ref="B12:D12"/>
    <mergeCell ref="B25:D25"/>
    <mergeCell ref="B35:D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F44"/>
  <sheetViews>
    <sheetView workbookViewId="0"/>
  </sheetViews>
  <sheetFormatPr defaultRowHeight="15"/>
  <cols>
    <col min="1" max="1" width="3.7109375" customWidth="1"/>
    <col min="2" max="2" width="30.7109375" customWidth="1"/>
    <col min="3" max="6" width="18.7109375" customWidth="1"/>
  </cols>
  <sheetData>
    <row r="1" spans="2:6">
      <c r="B1" s="1" t="s">
        <v>101</v>
      </c>
      <c r="C1" s="1"/>
      <c r="D1" s="1"/>
      <c r="E1" s="1"/>
      <c r="F1" s="1"/>
    </row>
    <row r="3" spans="2:6">
      <c r="B3" t="s">
        <v>102</v>
      </c>
    </row>
    <row r="5" spans="2:6">
      <c r="B5" s="3" t="s">
        <v>60</v>
      </c>
      <c r="C5" s="3"/>
      <c r="D5" s="3"/>
    </row>
    <row r="7" spans="2:6">
      <c r="B7" s="5" t="s">
        <v>61</v>
      </c>
      <c r="C7" t="s">
        <v>21</v>
      </c>
    </row>
    <row r="8" spans="2:6">
      <c r="B8" s="5" t="s">
        <v>62</v>
      </c>
      <c r="C8" t="s">
        <v>103</v>
      </c>
    </row>
    <row r="9" spans="2:6">
      <c r="B9" s="5" t="s">
        <v>64</v>
      </c>
      <c r="C9" t="s">
        <v>104</v>
      </c>
    </row>
    <row r="10" spans="2:6">
      <c r="B10" s="5" t="s">
        <v>7</v>
      </c>
      <c r="C10" t="s">
        <v>66</v>
      </c>
    </row>
    <row r="11" spans="2:6">
      <c r="B11" s="5" t="s">
        <v>67</v>
      </c>
      <c r="C11" t="s">
        <v>24</v>
      </c>
    </row>
    <row r="12" spans="2:6">
      <c r="B12" s="3" t="s">
        <v>68</v>
      </c>
      <c r="C12" s="3"/>
      <c r="D12" s="3"/>
    </row>
    <row r="14" spans="2:6">
      <c r="B14" s="4" t="s">
        <v>69</v>
      </c>
      <c r="C14" s="6" t="s">
        <v>30</v>
      </c>
      <c r="D14" s="7" t="s">
        <v>70</v>
      </c>
    </row>
    <row r="15" spans="2:6">
      <c r="B15" s="5" t="s">
        <v>71</v>
      </c>
      <c r="C15" s="8">
        <v>14000000</v>
      </c>
      <c r="D15" s="8">
        <v>8800000</v>
      </c>
    </row>
    <row r="16" spans="2:6">
      <c r="B16" s="5" t="s">
        <v>72</v>
      </c>
      <c r="C16" s="8">
        <v>0</v>
      </c>
      <c r="D16" s="8">
        <v>800000</v>
      </c>
    </row>
    <row r="17" spans="2:4">
      <c r="B17" s="5" t="s">
        <v>73</v>
      </c>
      <c r="C17" s="8">
        <v>0</v>
      </c>
      <c r="D17" s="8">
        <v>250000</v>
      </c>
    </row>
    <row r="18" spans="2:4">
      <c r="B18" s="5" t="s">
        <v>74</v>
      </c>
      <c r="C18" s="8">
        <v>0</v>
      </c>
      <c r="D18" s="8">
        <v>704000</v>
      </c>
    </row>
    <row r="19" spans="2:4">
      <c r="B19" s="5" t="s">
        <v>32</v>
      </c>
      <c r="C19" s="8">
        <v>14000000</v>
      </c>
      <c r="D19" s="8">
        <v>10554000</v>
      </c>
    </row>
    <row r="20" spans="2:4">
      <c r="B20" s="5" t="s">
        <v>75</v>
      </c>
      <c r="C20" s="8">
        <v>-4200000</v>
      </c>
      <c r="D20" s="8">
        <v>-3166200</v>
      </c>
    </row>
    <row r="21" spans="2:4">
      <c r="B21" s="5" t="s">
        <v>76</v>
      </c>
      <c r="C21" s="8">
        <v>9800000</v>
      </c>
      <c r="D21" s="8">
        <v>7387800</v>
      </c>
    </row>
    <row r="23" spans="2:4">
      <c r="B23" s="5" t="s">
        <v>77</v>
      </c>
      <c r="C23" s="8">
        <v>350</v>
      </c>
      <c r="D23" s="8">
        <v>263.85</v>
      </c>
    </row>
    <row r="24" spans="2:4">
      <c r="B24" s="5" t="s">
        <v>78</v>
      </c>
      <c r="C24" s="8">
        <v>1400</v>
      </c>
      <c r="D24" s="8">
        <v>1055.4</v>
      </c>
    </row>
    <row r="25" spans="2:4">
      <c r="B25" s="3" t="s">
        <v>79</v>
      </c>
      <c r="C25" s="3"/>
      <c r="D25" s="3"/>
    </row>
    <row r="27" spans="2:4">
      <c r="B27" s="4" t="s">
        <v>80</v>
      </c>
      <c r="C27" s="4" t="s">
        <v>81</v>
      </c>
      <c r="D27" s="4" t="s">
        <v>82</v>
      </c>
    </row>
    <row r="28" spans="2:4">
      <c r="B28" t="s">
        <v>83</v>
      </c>
      <c r="C28" s="8">
        <v>15</v>
      </c>
      <c r="D28" s="8">
        <v>150000</v>
      </c>
    </row>
    <row r="29" spans="2:4">
      <c r="B29" t="s">
        <v>84</v>
      </c>
      <c r="C29" s="8">
        <v>55</v>
      </c>
      <c r="D29" s="8">
        <v>550000</v>
      </c>
    </row>
    <row r="30" spans="2:4">
      <c r="B30" t="s">
        <v>85</v>
      </c>
      <c r="C30" s="8">
        <v>144</v>
      </c>
      <c r="D30" s="8">
        <v>1440000</v>
      </c>
    </row>
    <row r="31" spans="2:4">
      <c r="B31" t="s">
        <v>86</v>
      </c>
      <c r="C31" s="8">
        <v>12</v>
      </c>
      <c r="D31" s="8">
        <v>120000</v>
      </c>
    </row>
    <row r="32" spans="2:4">
      <c r="B32" t="s">
        <v>87</v>
      </c>
      <c r="C32" s="8">
        <v>8</v>
      </c>
      <c r="D32" s="8">
        <v>80000</v>
      </c>
    </row>
    <row r="33" spans="2:4">
      <c r="B33" t="s">
        <v>88</v>
      </c>
      <c r="C33" s="8">
        <v>0</v>
      </c>
      <c r="D33" s="8">
        <v>0</v>
      </c>
    </row>
    <row r="34" spans="2:4">
      <c r="B34" s="5" t="s">
        <v>89</v>
      </c>
      <c r="C34" s="8">
        <v>234</v>
      </c>
      <c r="D34" s="8">
        <v>2340000</v>
      </c>
    </row>
    <row r="35" spans="2:4">
      <c r="B35" s="3" t="s">
        <v>90</v>
      </c>
      <c r="C35" s="3"/>
      <c r="D35" s="3"/>
    </row>
    <row r="37" spans="2:4">
      <c r="B37" s="4" t="s">
        <v>26</v>
      </c>
      <c r="C37" s="6" t="s">
        <v>30</v>
      </c>
      <c r="D37" s="7" t="s">
        <v>70</v>
      </c>
    </row>
    <row r="38" spans="2:4">
      <c r="B38" s="5" t="s">
        <v>91</v>
      </c>
      <c r="C38" s="8">
        <v>10883158.6730841</v>
      </c>
      <c r="D38" s="8">
        <v>13691161.67277469</v>
      </c>
    </row>
    <row r="39" spans="2:4">
      <c r="B39" s="5" t="s">
        <v>92</v>
      </c>
      <c r="C39" s="12">
        <v>1.788986429940549</v>
      </c>
      <c r="D39" s="12">
        <v>2.246254795412564</v>
      </c>
    </row>
    <row r="40" spans="2:4">
      <c r="B40" s="5" t="s">
        <v>93</v>
      </c>
      <c r="C40" s="10">
        <v>0.1917245083450665</v>
      </c>
      <c r="D40" s="10">
        <v>0.2648990016219144</v>
      </c>
    </row>
    <row r="41" spans="2:4">
      <c r="B41" s="5" t="s">
        <v>94</v>
      </c>
      <c r="C41" s="11">
        <v>5.097527351645446</v>
      </c>
      <c r="D41" s="11">
        <v>3.757153546375521</v>
      </c>
    </row>
    <row r="42" spans="2:4">
      <c r="B42" s="5" t="s">
        <v>38</v>
      </c>
      <c r="C42" s="8">
        <v>125.0731529865333</v>
      </c>
      <c r="D42" s="8">
        <v>99.61210718381123</v>
      </c>
    </row>
    <row r="43" spans="2:4">
      <c r="B43" s="5" t="s">
        <v>95</v>
      </c>
      <c r="C43" s="8">
        <v>24677006.3998494</v>
      </c>
      <c r="D43" s="8">
        <v>24677006.3998494</v>
      </c>
    </row>
    <row r="44" spans="2:4">
      <c r="B44" s="5" t="s">
        <v>96</v>
      </c>
      <c r="C44" s="8">
        <v>13793847.7267653</v>
      </c>
      <c r="D44" s="8">
        <v>10985844.72707471</v>
      </c>
    </row>
  </sheetData>
  <mergeCells count="5">
    <mergeCell ref="B1:F1"/>
    <mergeCell ref="B5:D5"/>
    <mergeCell ref="B12:D12"/>
    <mergeCell ref="B25:D25"/>
    <mergeCell ref="B35:D3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Z97"/>
  <sheetViews>
    <sheetView workbookViewId="0"/>
  </sheetViews>
  <sheetFormatPr defaultRowHeight="15"/>
  <cols>
    <col min="1" max="1" width="3.7109375" customWidth="1"/>
    <col min="2" max="2" width="12.7109375" customWidth="1"/>
    <col min="3" max="26" width="14.7109375" customWidth="1"/>
  </cols>
  <sheetData>
    <row r="1" spans="2:26">
      <c r="B1" s="1" t="s">
        <v>105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spans="2:26">
      <c r="B3" s="3" t="s">
        <v>106</v>
      </c>
      <c r="C3" s="3"/>
      <c r="D3" s="3"/>
      <c r="E3" s="3"/>
      <c r="F3" s="3"/>
      <c r="G3" s="3"/>
      <c r="H3" s="3"/>
      <c r="I3" s="3"/>
      <c r="J3" s="3"/>
      <c r="K3" s="3"/>
      <c r="L3" s="3"/>
    </row>
    <row r="5" spans="2:26">
      <c r="B5" s="4" t="s">
        <v>107</v>
      </c>
      <c r="C5" s="4" t="s">
        <v>108</v>
      </c>
      <c r="D5" s="4" t="s">
        <v>109</v>
      </c>
      <c r="E5" s="4" t="s">
        <v>110</v>
      </c>
      <c r="F5" s="4" t="s">
        <v>111</v>
      </c>
    </row>
    <row r="6" spans="2:26">
      <c r="B6">
        <v>0</v>
      </c>
      <c r="C6" s="8">
        <v>490000</v>
      </c>
      <c r="D6" s="8">
        <v>0</v>
      </c>
      <c r="E6" s="8">
        <v>-490000</v>
      </c>
      <c r="F6" s="13">
        <v>-490000</v>
      </c>
    </row>
    <row r="7" spans="2:26">
      <c r="B7">
        <v>1</v>
      </c>
      <c r="C7" s="8">
        <v>21460.25</v>
      </c>
      <c r="D7" s="8">
        <v>127000</v>
      </c>
      <c r="E7" s="8">
        <v>105539.75</v>
      </c>
      <c r="F7" s="13">
        <v>-384460.25</v>
      </c>
    </row>
    <row r="8" spans="2:26">
      <c r="B8">
        <v>2</v>
      </c>
      <c r="C8" s="8">
        <v>21102.49375</v>
      </c>
      <c r="D8" s="8">
        <v>126920.625</v>
      </c>
      <c r="E8" s="8">
        <v>105818.13125</v>
      </c>
      <c r="F8" s="13">
        <v>-278642.11875</v>
      </c>
    </row>
    <row r="9" spans="2:26">
      <c r="B9">
        <v>3</v>
      </c>
      <c r="C9" s="8">
        <v>20744.93140625</v>
      </c>
      <c r="D9" s="8">
        <v>126841.299609375</v>
      </c>
      <c r="E9" s="8">
        <v>106096.368203125</v>
      </c>
      <c r="F9" s="13">
        <v>-172545.7505468751</v>
      </c>
    </row>
    <row r="10" spans="2:26">
      <c r="B10">
        <v>4</v>
      </c>
      <c r="C10" s="8">
        <v>20387.55812109375</v>
      </c>
      <c r="D10" s="8">
        <v>126762.0237971191</v>
      </c>
      <c r="E10" s="8">
        <v>106374.4656760253</v>
      </c>
      <c r="F10" s="13">
        <v>-66171.28487084975</v>
      </c>
    </row>
    <row r="11" spans="2:26">
      <c r="B11">
        <v>5</v>
      </c>
      <c r="C11" s="8">
        <v>20030.36916806641</v>
      </c>
      <c r="D11" s="8">
        <v>126682.7975322459</v>
      </c>
      <c r="E11" s="8">
        <v>106652.4283641795</v>
      </c>
      <c r="F11" s="14">
        <v>40481.14349332973</v>
      </c>
    </row>
    <row r="12" spans="2:26">
      <c r="B12">
        <v>6</v>
      </c>
      <c r="C12" s="8">
        <v>19673.35993886475</v>
      </c>
      <c r="D12" s="8">
        <v>126603.6207837882</v>
      </c>
      <c r="E12" s="8">
        <v>106930.2608449235</v>
      </c>
      <c r="F12" s="14">
        <v>147411.4043382532</v>
      </c>
    </row>
    <row r="13" spans="2:26">
      <c r="B13">
        <v>7</v>
      </c>
      <c r="C13" s="8">
        <v>19316.52594039313</v>
      </c>
      <c r="D13" s="8">
        <v>126524.4935207984</v>
      </c>
      <c r="E13" s="8">
        <v>107207.9675804052</v>
      </c>
      <c r="F13" s="14">
        <v>254619.3719186584</v>
      </c>
    </row>
    <row r="14" spans="2:26">
      <c r="B14">
        <v>8</v>
      </c>
      <c r="C14" s="8">
        <v>18959.8627918833</v>
      </c>
      <c r="D14" s="8">
        <v>126445.4157123478</v>
      </c>
      <c r="E14" s="8">
        <v>107485.5529204645</v>
      </c>
      <c r="F14" s="14">
        <v>362104.924839123</v>
      </c>
    </row>
    <row r="15" spans="2:26">
      <c r="B15">
        <v>9</v>
      </c>
      <c r="C15" s="8">
        <v>18603.36622208622</v>
      </c>
      <c r="D15" s="8">
        <v>126366.3873275276</v>
      </c>
      <c r="E15" s="8">
        <v>107763.0211054414</v>
      </c>
      <c r="F15" s="14">
        <v>469867.9459445644</v>
      </c>
    </row>
    <row r="16" spans="2:26">
      <c r="B16">
        <v>10</v>
      </c>
      <c r="C16" s="8">
        <v>18247.03206653406</v>
      </c>
      <c r="D16" s="8">
        <v>126287.4083354479</v>
      </c>
      <c r="E16" s="8">
        <v>108040.3762689138</v>
      </c>
      <c r="F16" s="14">
        <v>577908.3222134782</v>
      </c>
    </row>
    <row r="17" spans="2:12">
      <c r="B17">
        <v>20</v>
      </c>
      <c r="C17" s="8">
        <v>14691.77831055177</v>
      </c>
      <c r="D17" s="8">
        <v>125500.3282334181</v>
      </c>
      <c r="E17" s="8">
        <v>110808.5499228663</v>
      </c>
      <c r="F17" s="14">
        <v>688716.8721363444</v>
      </c>
    </row>
    <row r="19" spans="2:12">
      <c r="B19" s="3" t="s">
        <v>112</v>
      </c>
      <c r="C19" s="3"/>
      <c r="D19" s="3"/>
      <c r="E19" s="3"/>
      <c r="F19" s="3"/>
      <c r="G19" s="3"/>
      <c r="H19" s="3"/>
      <c r="I19" s="3"/>
      <c r="J19" s="3"/>
      <c r="K19" s="3"/>
      <c r="L19" s="3"/>
    </row>
    <row r="21" spans="2:12">
      <c r="B21" s="4" t="s">
        <v>107</v>
      </c>
      <c r="C21" s="4" t="s">
        <v>108</v>
      </c>
      <c r="D21" s="4" t="s">
        <v>109</v>
      </c>
      <c r="E21" s="4" t="s">
        <v>110</v>
      </c>
      <c r="F21" s="4" t="s">
        <v>111</v>
      </c>
    </row>
    <row r="22" spans="2:12">
      <c r="B22">
        <v>0</v>
      </c>
      <c r="C22" s="8">
        <v>369390</v>
      </c>
      <c r="D22" s="8">
        <v>0</v>
      </c>
      <c r="E22" s="8">
        <v>-369390</v>
      </c>
      <c r="F22" s="13">
        <v>-369390</v>
      </c>
    </row>
    <row r="23" spans="2:12">
      <c r="B23">
        <v>1</v>
      </c>
      <c r="C23" s="8">
        <v>18961.9</v>
      </c>
      <c r="D23" s="8">
        <v>127000</v>
      </c>
      <c r="E23" s="8">
        <v>108038.1</v>
      </c>
      <c r="F23" s="13">
        <v>-261351.9</v>
      </c>
    </row>
    <row r="24" spans="2:12">
      <c r="B24">
        <v>2</v>
      </c>
      <c r="C24" s="8">
        <v>18690.29375</v>
      </c>
      <c r="D24" s="8">
        <v>126920.625</v>
      </c>
      <c r="E24" s="8">
        <v>108230.33125</v>
      </c>
      <c r="F24" s="13">
        <v>-153121.56875</v>
      </c>
    </row>
    <row r="25" spans="2:12">
      <c r="B25">
        <v>3</v>
      </c>
      <c r="C25" s="8">
        <v>18418.88140625</v>
      </c>
      <c r="D25" s="8">
        <v>126841.299609375</v>
      </c>
      <c r="E25" s="8">
        <v>108422.418203125</v>
      </c>
      <c r="F25" s="13">
        <v>-44699.15054687501</v>
      </c>
    </row>
    <row r="26" spans="2:12">
      <c r="B26">
        <v>4</v>
      </c>
      <c r="C26" s="8">
        <v>18147.65812109375</v>
      </c>
      <c r="D26" s="8">
        <v>126762.0237971191</v>
      </c>
      <c r="E26" s="8">
        <v>108614.3656760253</v>
      </c>
      <c r="F26" s="14">
        <v>63915.2151291503</v>
      </c>
    </row>
    <row r="27" spans="2:12">
      <c r="B27">
        <v>5</v>
      </c>
      <c r="C27" s="8">
        <v>17876.61916806641</v>
      </c>
      <c r="D27" s="8">
        <v>126682.7975322459</v>
      </c>
      <c r="E27" s="8">
        <v>108806.1783641795</v>
      </c>
      <c r="F27" s="14">
        <v>172721.3934933298</v>
      </c>
    </row>
    <row r="28" spans="2:12">
      <c r="B28">
        <v>6</v>
      </c>
      <c r="C28" s="8">
        <v>17605.75993886475</v>
      </c>
      <c r="D28" s="8">
        <v>126603.6207837882</v>
      </c>
      <c r="E28" s="8">
        <v>108997.8608449235</v>
      </c>
      <c r="F28" s="14">
        <v>281719.2543382532</v>
      </c>
    </row>
    <row r="29" spans="2:12">
      <c r="B29">
        <v>7</v>
      </c>
      <c r="C29" s="8">
        <v>17335.07594039313</v>
      </c>
      <c r="D29" s="8">
        <v>126524.4935207984</v>
      </c>
      <c r="E29" s="8">
        <v>109189.4175804052</v>
      </c>
      <c r="F29" s="14">
        <v>390908.6719186584</v>
      </c>
    </row>
    <row r="30" spans="2:12">
      <c r="B30">
        <v>8</v>
      </c>
      <c r="C30" s="8">
        <v>17064.5627918833</v>
      </c>
      <c r="D30" s="8">
        <v>126445.4157123478</v>
      </c>
      <c r="E30" s="8">
        <v>109380.8529204645</v>
      </c>
      <c r="F30" s="14">
        <v>500289.524839123</v>
      </c>
    </row>
    <row r="31" spans="2:12">
      <c r="B31">
        <v>9</v>
      </c>
      <c r="C31" s="8">
        <v>16794.21622208622</v>
      </c>
      <c r="D31" s="8">
        <v>126366.3873275276</v>
      </c>
      <c r="E31" s="8">
        <v>109572.1711054414</v>
      </c>
      <c r="F31" s="14">
        <v>609861.6959445643</v>
      </c>
    </row>
    <row r="32" spans="2:12">
      <c r="B32">
        <v>10</v>
      </c>
      <c r="C32" s="8">
        <v>16524.03206653406</v>
      </c>
      <c r="D32" s="8">
        <v>126287.4083354479</v>
      </c>
      <c r="E32" s="8">
        <v>109763.3762689138</v>
      </c>
      <c r="F32" s="14">
        <v>719625.0722134782</v>
      </c>
    </row>
    <row r="33" spans="2:12">
      <c r="B33">
        <v>20</v>
      </c>
      <c r="C33" s="8">
        <v>13830.27831055177</v>
      </c>
      <c r="D33" s="8">
        <v>125500.3282334181</v>
      </c>
      <c r="E33" s="8">
        <v>111670.0499228663</v>
      </c>
      <c r="F33" s="14">
        <v>831295.1221363444</v>
      </c>
    </row>
    <row r="35" spans="2:12">
      <c r="B35" s="3" t="s">
        <v>113</v>
      </c>
      <c r="C35" s="3"/>
      <c r="D35" s="3"/>
      <c r="E35" s="3"/>
      <c r="F35" s="3"/>
      <c r="G35" s="3"/>
      <c r="H35" s="3"/>
      <c r="I35" s="3"/>
      <c r="J35" s="3"/>
      <c r="K35" s="3"/>
      <c r="L35" s="3"/>
    </row>
    <row r="37" spans="2:12">
      <c r="B37" s="4" t="s">
        <v>107</v>
      </c>
      <c r="C37" s="4" t="s">
        <v>108</v>
      </c>
      <c r="D37" s="4" t="s">
        <v>109</v>
      </c>
      <c r="E37" s="4" t="s">
        <v>110</v>
      </c>
      <c r="F37" s="4" t="s">
        <v>111</v>
      </c>
    </row>
    <row r="38" spans="2:12">
      <c r="B38">
        <v>0</v>
      </c>
      <c r="C38" s="8">
        <v>2450000</v>
      </c>
      <c r="D38" s="8">
        <v>0</v>
      </c>
      <c r="E38" s="8">
        <v>-2450000</v>
      </c>
      <c r="F38" s="13">
        <v>-2450000</v>
      </c>
    </row>
    <row r="39" spans="2:12">
      <c r="B39">
        <v>1</v>
      </c>
      <c r="C39" s="8">
        <v>107301.25</v>
      </c>
      <c r="D39" s="8">
        <v>610000</v>
      </c>
      <c r="E39" s="8">
        <v>502698.75</v>
      </c>
      <c r="F39" s="13">
        <v>-1947301.25</v>
      </c>
    </row>
    <row r="40" spans="2:12">
      <c r="B40">
        <v>2</v>
      </c>
      <c r="C40" s="8">
        <v>105512.46875</v>
      </c>
      <c r="D40" s="8">
        <v>609618.7499999999</v>
      </c>
      <c r="E40" s="8">
        <v>504106.2812499999</v>
      </c>
      <c r="F40" s="13">
        <v>-1443194.96875</v>
      </c>
    </row>
    <row r="41" spans="2:12">
      <c r="B41">
        <v>3</v>
      </c>
      <c r="C41" s="8">
        <v>103724.65703125</v>
      </c>
      <c r="D41" s="8">
        <v>609237.73828125</v>
      </c>
      <c r="E41" s="8">
        <v>505513.08125</v>
      </c>
      <c r="F41" s="13">
        <v>-937681.8875</v>
      </c>
    </row>
    <row r="42" spans="2:12">
      <c r="B42">
        <v>4</v>
      </c>
      <c r="C42" s="8">
        <v>101937.7906054687</v>
      </c>
      <c r="D42" s="8">
        <v>608856.9646948241</v>
      </c>
      <c r="E42" s="8">
        <v>506919.1740893553</v>
      </c>
      <c r="F42" s="13">
        <v>-430762.7134106446</v>
      </c>
    </row>
    <row r="43" spans="2:12">
      <c r="B43">
        <v>5</v>
      </c>
      <c r="C43" s="8">
        <v>100151.845840332</v>
      </c>
      <c r="D43" s="8">
        <v>608476.4290918895</v>
      </c>
      <c r="E43" s="8">
        <v>508324.5832515575</v>
      </c>
      <c r="F43" s="14">
        <v>77561.86984091287</v>
      </c>
    </row>
    <row r="44" spans="2:12">
      <c r="B44">
        <v>6</v>
      </c>
      <c r="C44" s="8">
        <v>98366.79969432374</v>
      </c>
      <c r="D44" s="8">
        <v>608096.1313237072</v>
      </c>
      <c r="E44" s="8">
        <v>509729.3316293834</v>
      </c>
      <c r="F44" s="14">
        <v>587291.2014702964</v>
      </c>
    </row>
    <row r="45" spans="2:12">
      <c r="B45">
        <v>7</v>
      </c>
      <c r="C45" s="8">
        <v>96582.62970196563</v>
      </c>
      <c r="D45" s="8">
        <v>607716.0712416299</v>
      </c>
      <c r="E45" s="8">
        <v>511133.4415396643</v>
      </c>
      <c r="F45" s="14">
        <v>1098424.643009961</v>
      </c>
    </row>
    <row r="46" spans="2:12">
      <c r="B46">
        <v>8</v>
      </c>
      <c r="C46" s="8">
        <v>94799.3139594165</v>
      </c>
      <c r="D46" s="8">
        <v>607336.2486971038</v>
      </c>
      <c r="E46" s="8">
        <v>512536.9347376873</v>
      </c>
      <c r="F46" s="14">
        <v>1610961.577747648</v>
      </c>
    </row>
    <row r="47" spans="2:12">
      <c r="B47">
        <v>9</v>
      </c>
      <c r="C47" s="8">
        <v>93016.83111043109</v>
      </c>
      <c r="D47" s="8">
        <v>606956.663541668</v>
      </c>
      <c r="E47" s="8">
        <v>513939.8324312369</v>
      </c>
      <c r="F47" s="14">
        <v>2124901.410178885</v>
      </c>
    </row>
    <row r="48" spans="2:12">
      <c r="B48">
        <v>10</v>
      </c>
      <c r="C48" s="8">
        <v>91235.1603326703</v>
      </c>
      <c r="D48" s="8">
        <v>606577.3156269544</v>
      </c>
      <c r="E48" s="8">
        <v>515342.1552942841</v>
      </c>
      <c r="F48" s="14">
        <v>2640243.565473169</v>
      </c>
    </row>
    <row r="49" spans="2:12">
      <c r="B49">
        <v>20</v>
      </c>
      <c r="C49" s="8">
        <v>73458.89155275884</v>
      </c>
      <c r="D49" s="8">
        <v>602796.8521447639</v>
      </c>
      <c r="E49" s="8">
        <v>529337.9605920051</v>
      </c>
      <c r="F49" s="14">
        <v>3169581.526065174</v>
      </c>
    </row>
    <row r="51" spans="2:12">
      <c r="B51" s="3" t="s">
        <v>114</v>
      </c>
      <c r="C51" s="3"/>
      <c r="D51" s="3"/>
      <c r="E51" s="3"/>
      <c r="F51" s="3"/>
      <c r="G51" s="3"/>
      <c r="H51" s="3"/>
      <c r="I51" s="3"/>
      <c r="J51" s="3"/>
      <c r="K51" s="3"/>
      <c r="L51" s="3"/>
    </row>
    <row r="53" spans="2:12">
      <c r="B53" s="4" t="s">
        <v>107</v>
      </c>
      <c r="C53" s="4" t="s">
        <v>108</v>
      </c>
      <c r="D53" s="4" t="s">
        <v>109</v>
      </c>
      <c r="E53" s="4" t="s">
        <v>110</v>
      </c>
      <c r="F53" s="4" t="s">
        <v>111</v>
      </c>
    </row>
    <row r="54" spans="2:12">
      <c r="B54">
        <v>0</v>
      </c>
      <c r="C54" s="8">
        <v>1846950</v>
      </c>
      <c r="D54" s="8">
        <v>0</v>
      </c>
      <c r="E54" s="8">
        <v>-1846950</v>
      </c>
      <c r="F54" s="13">
        <v>-1846950</v>
      </c>
    </row>
    <row r="55" spans="2:12">
      <c r="B55">
        <v>1</v>
      </c>
      <c r="C55" s="8">
        <v>94809.5</v>
      </c>
      <c r="D55" s="8">
        <v>610000</v>
      </c>
      <c r="E55" s="8">
        <v>515190.5</v>
      </c>
      <c r="F55" s="13">
        <v>-1331759.5</v>
      </c>
    </row>
    <row r="56" spans="2:12">
      <c r="B56">
        <v>2</v>
      </c>
      <c r="C56" s="8">
        <v>93451.46875</v>
      </c>
      <c r="D56" s="8">
        <v>609618.7499999999</v>
      </c>
      <c r="E56" s="8">
        <v>516167.2812499999</v>
      </c>
      <c r="F56" s="13">
        <v>-815592.2187500001</v>
      </c>
    </row>
    <row r="57" spans="2:12">
      <c r="B57">
        <v>3</v>
      </c>
      <c r="C57" s="8">
        <v>92094.40703125</v>
      </c>
      <c r="D57" s="8">
        <v>609237.73828125</v>
      </c>
      <c r="E57" s="8">
        <v>517143.33125</v>
      </c>
      <c r="F57" s="13">
        <v>-298448.8875000001</v>
      </c>
    </row>
    <row r="58" spans="2:12">
      <c r="B58">
        <v>4</v>
      </c>
      <c r="C58" s="8">
        <v>90738.29060546875</v>
      </c>
      <c r="D58" s="8">
        <v>608856.9646948241</v>
      </c>
      <c r="E58" s="8">
        <v>518118.6740893553</v>
      </c>
      <c r="F58" s="14">
        <v>219669.7865893552</v>
      </c>
    </row>
    <row r="59" spans="2:12">
      <c r="B59">
        <v>5</v>
      </c>
      <c r="C59" s="8">
        <v>89383.09584033204</v>
      </c>
      <c r="D59" s="8">
        <v>608476.4290918895</v>
      </c>
      <c r="E59" s="8">
        <v>519093.3332515575</v>
      </c>
      <c r="F59" s="14">
        <v>738763.1198409128</v>
      </c>
    </row>
    <row r="60" spans="2:12">
      <c r="B60">
        <v>6</v>
      </c>
      <c r="C60" s="8">
        <v>88028.79969432374</v>
      </c>
      <c r="D60" s="8">
        <v>608096.1313237072</v>
      </c>
      <c r="E60" s="8">
        <v>520067.3316293834</v>
      </c>
      <c r="F60" s="14">
        <v>1258830.451470296</v>
      </c>
    </row>
    <row r="61" spans="2:12">
      <c r="B61">
        <v>7</v>
      </c>
      <c r="C61" s="8">
        <v>86675.37970196563</v>
      </c>
      <c r="D61" s="8">
        <v>607716.0712416299</v>
      </c>
      <c r="E61" s="8">
        <v>521040.6915396643</v>
      </c>
      <c r="F61" s="14">
        <v>1779871.14300996</v>
      </c>
    </row>
    <row r="62" spans="2:12">
      <c r="B62">
        <v>8</v>
      </c>
      <c r="C62" s="8">
        <v>85322.8139594165</v>
      </c>
      <c r="D62" s="8">
        <v>607336.2486971038</v>
      </c>
      <c r="E62" s="8">
        <v>522013.4347376873</v>
      </c>
      <c r="F62" s="14">
        <v>2301884.577747648</v>
      </c>
    </row>
    <row r="63" spans="2:12">
      <c r="B63">
        <v>9</v>
      </c>
      <c r="C63" s="8">
        <v>83971.08111043109</v>
      </c>
      <c r="D63" s="8">
        <v>606956.663541668</v>
      </c>
      <c r="E63" s="8">
        <v>522985.5824312369</v>
      </c>
      <c r="F63" s="14">
        <v>2824870.160178884</v>
      </c>
    </row>
    <row r="64" spans="2:12">
      <c r="B64">
        <v>10</v>
      </c>
      <c r="C64" s="8">
        <v>82620.1603326703</v>
      </c>
      <c r="D64" s="8">
        <v>606577.3156269544</v>
      </c>
      <c r="E64" s="8">
        <v>523957.1552942841</v>
      </c>
      <c r="F64" s="14">
        <v>3348827.315473169</v>
      </c>
    </row>
    <row r="65" spans="2:12">
      <c r="B65">
        <v>20</v>
      </c>
      <c r="C65" s="8">
        <v>69151.39155275884</v>
      </c>
      <c r="D65" s="8">
        <v>602796.8521447639</v>
      </c>
      <c r="E65" s="8">
        <v>533645.4605920051</v>
      </c>
      <c r="F65" s="14">
        <v>3882472.776065174</v>
      </c>
    </row>
    <row r="67" spans="2:12">
      <c r="B67" s="3" t="s">
        <v>115</v>
      </c>
      <c r="C67" s="3"/>
      <c r="D67" s="3"/>
      <c r="E67" s="3"/>
      <c r="F67" s="3"/>
      <c r="G67" s="3"/>
      <c r="H67" s="3"/>
      <c r="I67" s="3"/>
      <c r="J67" s="3"/>
      <c r="K67" s="3"/>
      <c r="L67" s="3"/>
    </row>
    <row r="69" spans="2:12">
      <c r="B69" s="4" t="s">
        <v>107</v>
      </c>
      <c r="C69" s="4" t="s">
        <v>108</v>
      </c>
      <c r="D69" s="4" t="s">
        <v>109</v>
      </c>
      <c r="E69" s="4" t="s">
        <v>110</v>
      </c>
      <c r="F69" s="4" t="s">
        <v>111</v>
      </c>
    </row>
    <row r="70" spans="2:12">
      <c r="B70">
        <v>0</v>
      </c>
      <c r="C70" s="8">
        <v>9800000</v>
      </c>
      <c r="D70" s="8">
        <v>0</v>
      </c>
      <c r="E70" s="8">
        <v>-9800000</v>
      </c>
      <c r="F70" s="13">
        <v>-9800000</v>
      </c>
    </row>
    <row r="71" spans="2:12">
      <c r="B71">
        <v>1</v>
      </c>
      <c r="C71" s="8">
        <v>429205</v>
      </c>
      <c r="D71" s="8">
        <v>2340000</v>
      </c>
      <c r="E71" s="8">
        <v>1910795</v>
      </c>
      <c r="F71" s="13">
        <v>-7889205</v>
      </c>
    </row>
    <row r="72" spans="2:12">
      <c r="B72">
        <v>2</v>
      </c>
      <c r="C72" s="8">
        <v>422049.875</v>
      </c>
      <c r="D72" s="8">
        <v>2338537.5</v>
      </c>
      <c r="E72" s="8">
        <v>1916487.625</v>
      </c>
      <c r="F72" s="13">
        <v>-5972717.375</v>
      </c>
    </row>
    <row r="73" spans="2:12">
      <c r="B73">
        <v>3</v>
      </c>
      <c r="C73" s="8">
        <v>414898.628125</v>
      </c>
      <c r="D73" s="8">
        <v>2337075.9140625</v>
      </c>
      <c r="E73" s="8">
        <v>1922177.2859375</v>
      </c>
      <c r="F73" s="13">
        <v>-4050540.0890625</v>
      </c>
    </row>
    <row r="74" spans="2:12">
      <c r="B74">
        <v>4</v>
      </c>
      <c r="C74" s="8">
        <v>407751.162421875</v>
      </c>
      <c r="D74" s="8">
        <v>2335615.24161621</v>
      </c>
      <c r="E74" s="8">
        <v>1927864.079194335</v>
      </c>
      <c r="F74" s="13">
        <v>-2122676.009868165</v>
      </c>
    </row>
    <row r="75" spans="2:12">
      <c r="B75">
        <v>5</v>
      </c>
      <c r="C75" s="8">
        <v>400607.3833613282</v>
      </c>
      <c r="D75" s="8">
        <v>2334155.482090199</v>
      </c>
      <c r="E75" s="8">
        <v>1933548.098728871</v>
      </c>
      <c r="F75" s="13">
        <v>-189127.9111392933</v>
      </c>
    </row>
    <row r="76" spans="2:12">
      <c r="B76">
        <v>6</v>
      </c>
      <c r="C76" s="8">
        <v>393467.198777295</v>
      </c>
      <c r="D76" s="8">
        <v>2332696.634913893</v>
      </c>
      <c r="E76" s="8">
        <v>1939229.436136598</v>
      </c>
      <c r="F76" s="14">
        <v>1750101.524997305</v>
      </c>
    </row>
    <row r="77" spans="2:12">
      <c r="B77">
        <v>7</v>
      </c>
      <c r="C77" s="8">
        <v>386330.5188078625</v>
      </c>
      <c r="D77" s="8">
        <v>2331238.699517072</v>
      </c>
      <c r="E77" s="8">
        <v>1944908.180709209</v>
      </c>
      <c r="F77" s="14">
        <v>3695009.705706514</v>
      </c>
    </row>
    <row r="78" spans="2:12">
      <c r="B78">
        <v>8</v>
      </c>
      <c r="C78" s="8">
        <v>379197.255837666</v>
      </c>
      <c r="D78" s="8">
        <v>2329781.675329873</v>
      </c>
      <c r="E78" s="8">
        <v>1950584.419492207</v>
      </c>
      <c r="F78" s="14">
        <v>5645594.125198722</v>
      </c>
    </row>
    <row r="79" spans="2:12">
      <c r="B79">
        <v>9</v>
      </c>
      <c r="C79" s="8">
        <v>372067.3244417243</v>
      </c>
      <c r="D79" s="8">
        <v>2328325.561782792</v>
      </c>
      <c r="E79" s="8">
        <v>1956258.237341067</v>
      </c>
      <c r="F79" s="14">
        <v>7601852.362539789</v>
      </c>
    </row>
    <row r="80" spans="2:12">
      <c r="B80">
        <v>10</v>
      </c>
      <c r="C80" s="8">
        <v>364940.6413306812</v>
      </c>
      <c r="D80" s="8">
        <v>2326870.358306678</v>
      </c>
      <c r="E80" s="8">
        <v>1961929.716975996</v>
      </c>
      <c r="F80" s="14">
        <v>9563782.079515785</v>
      </c>
    </row>
    <row r="81" spans="2:12">
      <c r="B81">
        <v>20</v>
      </c>
      <c r="C81" s="8">
        <v>293835.5662110354</v>
      </c>
      <c r="D81" s="8">
        <v>2312368.25248975</v>
      </c>
      <c r="E81" s="8">
        <v>2018532.686278715</v>
      </c>
      <c r="F81" s="14">
        <v>11582314.7657945</v>
      </c>
    </row>
    <row r="83" spans="2:12">
      <c r="B83" s="3" t="s">
        <v>116</v>
      </c>
      <c r="C83" s="3"/>
      <c r="D83" s="3"/>
      <c r="E83" s="3"/>
      <c r="F83" s="3"/>
      <c r="G83" s="3"/>
      <c r="H83" s="3"/>
      <c r="I83" s="3"/>
      <c r="J83" s="3"/>
      <c r="K83" s="3"/>
      <c r="L83" s="3"/>
    </row>
    <row r="85" spans="2:12">
      <c r="B85" s="4" t="s">
        <v>107</v>
      </c>
      <c r="C85" s="4" t="s">
        <v>108</v>
      </c>
      <c r="D85" s="4" t="s">
        <v>109</v>
      </c>
      <c r="E85" s="4" t="s">
        <v>110</v>
      </c>
      <c r="F85" s="4" t="s">
        <v>111</v>
      </c>
    </row>
    <row r="86" spans="2:12">
      <c r="B86">
        <v>0</v>
      </c>
      <c r="C86" s="8">
        <v>7387800</v>
      </c>
      <c r="D86" s="8">
        <v>0</v>
      </c>
      <c r="E86" s="8">
        <v>-7387800</v>
      </c>
      <c r="F86" s="13">
        <v>-7387800</v>
      </c>
    </row>
    <row r="87" spans="2:12">
      <c r="B87">
        <v>1</v>
      </c>
      <c r="C87" s="8">
        <v>379238</v>
      </c>
      <c r="D87" s="8">
        <v>2340000</v>
      </c>
      <c r="E87" s="8">
        <v>1960762</v>
      </c>
      <c r="F87" s="13">
        <v>-5427038</v>
      </c>
    </row>
    <row r="88" spans="2:12">
      <c r="B88">
        <v>2</v>
      </c>
      <c r="C88" s="8">
        <v>373805.875</v>
      </c>
      <c r="D88" s="8">
        <v>2338537.5</v>
      </c>
      <c r="E88" s="8">
        <v>1964731.625</v>
      </c>
      <c r="F88" s="13">
        <v>-3462306.375</v>
      </c>
    </row>
    <row r="89" spans="2:12">
      <c r="B89">
        <v>3</v>
      </c>
      <c r="C89" s="8">
        <v>368377.628125</v>
      </c>
      <c r="D89" s="8">
        <v>2337075.9140625</v>
      </c>
      <c r="E89" s="8">
        <v>1968698.2859375</v>
      </c>
      <c r="F89" s="13">
        <v>-1493608.089062501</v>
      </c>
    </row>
    <row r="90" spans="2:12">
      <c r="B90">
        <v>4</v>
      </c>
      <c r="C90" s="8">
        <v>362953.162421875</v>
      </c>
      <c r="D90" s="8">
        <v>2335615.24161621</v>
      </c>
      <c r="E90" s="8">
        <v>1972662.079194335</v>
      </c>
      <c r="F90" s="14">
        <v>479053.990131835</v>
      </c>
    </row>
    <row r="91" spans="2:12">
      <c r="B91">
        <v>5</v>
      </c>
      <c r="C91" s="8">
        <v>357532.3833613282</v>
      </c>
      <c r="D91" s="8">
        <v>2334155.482090199</v>
      </c>
      <c r="E91" s="8">
        <v>1976623.098728871</v>
      </c>
      <c r="F91" s="14">
        <v>2455677.088860706</v>
      </c>
    </row>
    <row r="92" spans="2:12">
      <c r="B92">
        <v>6</v>
      </c>
      <c r="C92" s="8">
        <v>352115.198777295</v>
      </c>
      <c r="D92" s="8">
        <v>2332696.634913893</v>
      </c>
      <c r="E92" s="8">
        <v>1980581.436136598</v>
      </c>
      <c r="F92" s="14">
        <v>4436258.524997304</v>
      </c>
    </row>
    <row r="93" spans="2:12">
      <c r="B93">
        <v>7</v>
      </c>
      <c r="C93" s="8">
        <v>346701.5188078625</v>
      </c>
      <c r="D93" s="8">
        <v>2331238.699517072</v>
      </c>
      <c r="E93" s="8">
        <v>1984537.180709209</v>
      </c>
      <c r="F93" s="14">
        <v>6420795.705706513</v>
      </c>
    </row>
    <row r="94" spans="2:12">
      <c r="B94">
        <v>8</v>
      </c>
      <c r="C94" s="8">
        <v>341291.255837666</v>
      </c>
      <c r="D94" s="8">
        <v>2329781.675329873</v>
      </c>
      <c r="E94" s="8">
        <v>1988490.419492207</v>
      </c>
      <c r="F94" s="14">
        <v>8409286.125198722</v>
      </c>
    </row>
    <row r="95" spans="2:12">
      <c r="B95">
        <v>9</v>
      </c>
      <c r="C95" s="8">
        <v>335884.3244417243</v>
      </c>
      <c r="D95" s="8">
        <v>2328325.561782792</v>
      </c>
      <c r="E95" s="8">
        <v>1992441.237341067</v>
      </c>
      <c r="F95" s="14">
        <v>10401727.36253979</v>
      </c>
    </row>
    <row r="96" spans="2:12">
      <c r="B96">
        <v>10</v>
      </c>
      <c r="C96" s="8">
        <v>330480.6413306812</v>
      </c>
      <c r="D96" s="8">
        <v>2326870.358306678</v>
      </c>
      <c r="E96" s="8">
        <v>1996389.716975996</v>
      </c>
      <c r="F96" s="14">
        <v>12398117.07951578</v>
      </c>
    </row>
    <row r="97" spans="2:6">
      <c r="B97">
        <v>20</v>
      </c>
      <c r="C97" s="8">
        <v>276605.5662110354</v>
      </c>
      <c r="D97" s="8">
        <v>2312368.25248975</v>
      </c>
      <c r="E97" s="8">
        <v>2035762.686278715</v>
      </c>
      <c r="F97" s="14">
        <v>14433879.7657945</v>
      </c>
    </row>
  </sheetData>
  <mergeCells count="7">
    <mergeCell ref="B1:Z1"/>
    <mergeCell ref="B3:L3"/>
    <mergeCell ref="B19:L19"/>
    <mergeCell ref="B35:L35"/>
    <mergeCell ref="B51:L51"/>
    <mergeCell ref="B67:L67"/>
    <mergeCell ref="B83:L8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F17"/>
  <sheetViews>
    <sheetView workbookViewId="0"/>
  </sheetViews>
  <sheetFormatPr defaultRowHeight="15"/>
  <cols>
    <col min="1" max="1" width="3.7109375" customWidth="1"/>
    <col min="2" max="2" width="25.7109375" customWidth="1"/>
    <col min="3" max="6" width="16.7109375" customWidth="1"/>
  </cols>
  <sheetData>
    <row r="1" spans="2:6">
      <c r="B1" s="1" t="s">
        <v>117</v>
      </c>
      <c r="C1" s="1"/>
      <c r="D1" s="1"/>
      <c r="E1" s="1"/>
      <c r="F1" s="1"/>
    </row>
    <row r="3" spans="2:6">
      <c r="B3" s="3" t="s">
        <v>118</v>
      </c>
      <c r="C3" s="3"/>
      <c r="D3" s="3"/>
    </row>
    <row r="5" spans="2:6">
      <c r="B5" s="4" t="s">
        <v>69</v>
      </c>
      <c r="C5" s="4" t="s">
        <v>119</v>
      </c>
      <c r="D5" s="4" t="s">
        <v>120</v>
      </c>
      <c r="E5" s="4" t="s">
        <v>121</v>
      </c>
    </row>
    <row r="6" spans="2:6">
      <c r="B6" s="5" t="s">
        <v>83</v>
      </c>
      <c r="C6" s="8">
        <v>15</v>
      </c>
      <c r="D6" s="8">
        <v>30</v>
      </c>
      <c r="E6" s="8">
        <v>45</v>
      </c>
    </row>
    <row r="7" spans="2:6">
      <c r="B7" s="5" t="s">
        <v>84</v>
      </c>
      <c r="C7" s="8">
        <v>20</v>
      </c>
      <c r="D7" s="8">
        <v>35</v>
      </c>
      <c r="E7" s="8">
        <v>55</v>
      </c>
    </row>
    <row r="8" spans="2:6">
      <c r="B8" s="5" t="s">
        <v>85</v>
      </c>
      <c r="C8" t="s">
        <v>122</v>
      </c>
      <c r="D8">
        <f> $144/kW-yr</f>
        <v>0</v>
      </c>
    </row>
    <row r="9" spans="2:6">
      <c r="B9" s="5" t="s">
        <v>86</v>
      </c>
      <c r="C9" s="8">
        <v>12</v>
      </c>
    </row>
    <row r="10" spans="2:6">
      <c r="B10" s="5" t="s">
        <v>87</v>
      </c>
      <c r="C10" s="8">
        <v>8</v>
      </c>
    </row>
    <row r="11" spans="2:6">
      <c r="B11" s="5" t="s">
        <v>88</v>
      </c>
      <c r="C11" s="8">
        <v>25</v>
      </c>
      <c r="D11" t="s">
        <v>123</v>
      </c>
    </row>
    <row r="12" spans="2:6">
      <c r="B12" s="3" t="s">
        <v>124</v>
      </c>
      <c r="C12" s="3"/>
      <c r="D12" s="3"/>
      <c r="E12" s="3"/>
    </row>
    <row r="14" spans="2:6">
      <c r="B14" s="4" t="s">
        <v>3</v>
      </c>
      <c r="C14" s="4" t="s">
        <v>125</v>
      </c>
      <c r="D14" s="4" t="s">
        <v>126</v>
      </c>
      <c r="E14" s="4" t="s">
        <v>127</v>
      </c>
    </row>
    <row r="15" spans="2:6">
      <c r="B15" s="5" t="s">
        <v>9</v>
      </c>
      <c r="C15" t="s">
        <v>121</v>
      </c>
      <c r="D15" t="s">
        <v>119</v>
      </c>
      <c r="E15" t="s">
        <v>128</v>
      </c>
    </row>
    <row r="16" spans="2:6">
      <c r="B16" s="5" t="s">
        <v>15</v>
      </c>
      <c r="C16" t="s">
        <v>121</v>
      </c>
      <c r="D16" t="s">
        <v>120</v>
      </c>
      <c r="E16" t="s">
        <v>129</v>
      </c>
    </row>
    <row r="17" spans="2:5">
      <c r="B17" s="5" t="s">
        <v>20</v>
      </c>
      <c r="C17" t="s">
        <v>119</v>
      </c>
      <c r="D17" t="s">
        <v>121</v>
      </c>
      <c r="E17" t="s">
        <v>129</v>
      </c>
    </row>
  </sheetData>
  <mergeCells count="3">
    <mergeCell ref="B1:F1"/>
    <mergeCell ref="B3:D3"/>
    <mergeCell ref="B12:E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1:D33"/>
  <sheetViews>
    <sheetView workbookViewId="0"/>
  </sheetViews>
  <sheetFormatPr defaultRowHeight="15"/>
  <cols>
    <col min="1" max="1" width="3.7109375" customWidth="1"/>
    <col min="2" max="2" width="30.7109375" customWidth="1"/>
    <col min="3" max="4" width="18.7109375" customWidth="1"/>
  </cols>
  <sheetData>
    <row r="1" spans="2:4">
      <c r="B1" s="1" t="s">
        <v>130</v>
      </c>
      <c r="C1" s="1"/>
      <c r="D1" s="1"/>
    </row>
    <row r="3" spans="2:4">
      <c r="B3" s="3" t="s">
        <v>131</v>
      </c>
      <c r="C3" s="3"/>
      <c r="D3" s="3"/>
    </row>
    <row r="5" spans="2:4">
      <c r="B5" s="4" t="s">
        <v>132</v>
      </c>
      <c r="C5" s="6" t="s">
        <v>30</v>
      </c>
      <c r="D5" s="7" t="s">
        <v>70</v>
      </c>
    </row>
    <row r="6" spans="2:4">
      <c r="B6" s="5" t="s">
        <v>133</v>
      </c>
      <c r="C6" s="8">
        <v>350</v>
      </c>
      <c r="D6" s="8">
        <v>220</v>
      </c>
    </row>
    <row r="7" spans="2:4">
      <c r="B7" s="5" t="s">
        <v>134</v>
      </c>
      <c r="C7" t="s">
        <v>135</v>
      </c>
      <c r="D7" s="8">
        <v>80</v>
      </c>
    </row>
    <row r="8" spans="2:4">
      <c r="B8" s="5" t="s">
        <v>136</v>
      </c>
      <c r="C8" t="s">
        <v>135</v>
      </c>
      <c r="D8" s="8">
        <v>25</v>
      </c>
    </row>
    <row r="9" spans="2:4">
      <c r="B9" s="5" t="s">
        <v>137</v>
      </c>
      <c r="C9" t="s">
        <v>135</v>
      </c>
      <c r="D9" t="s">
        <v>138</v>
      </c>
    </row>
    <row r="10" spans="2:4">
      <c r="B10" s="5" t="s">
        <v>139</v>
      </c>
      <c r="C10" t="s">
        <v>128</v>
      </c>
      <c r="D10" t="s">
        <v>129</v>
      </c>
    </row>
    <row r="11" spans="2:4">
      <c r="B11" s="5" t="s">
        <v>140</v>
      </c>
      <c r="C11" t="s">
        <v>128</v>
      </c>
      <c r="D11" t="s">
        <v>128</v>
      </c>
    </row>
    <row r="13" spans="2:4">
      <c r="B13" s="3" t="s">
        <v>141</v>
      </c>
      <c r="C13" s="3"/>
    </row>
    <row r="15" spans="2:4">
      <c r="B15" s="5" t="s">
        <v>142</v>
      </c>
      <c r="C15" t="s">
        <v>143</v>
      </c>
    </row>
    <row r="16" spans="2:4">
      <c r="B16" s="5" t="s">
        <v>144</v>
      </c>
      <c r="C16" t="s">
        <v>145</v>
      </c>
    </row>
    <row r="17" spans="2:3">
      <c r="B17" s="5" t="s">
        <v>146</v>
      </c>
      <c r="C17" t="s">
        <v>147</v>
      </c>
    </row>
    <row r="18" spans="2:3">
      <c r="B18" s="5" t="s">
        <v>148</v>
      </c>
      <c r="C18" t="s">
        <v>149</v>
      </c>
    </row>
    <row r="20" spans="2:3">
      <c r="B20" s="3" t="s">
        <v>150</v>
      </c>
      <c r="C20" s="3"/>
    </row>
    <row r="22" spans="2:3">
      <c r="B22" s="5" t="s">
        <v>42</v>
      </c>
      <c r="C22" t="s">
        <v>43</v>
      </c>
    </row>
    <row r="23" spans="2:3">
      <c r="B23" s="5" t="s">
        <v>44</v>
      </c>
      <c r="C23" t="s">
        <v>45</v>
      </c>
    </row>
    <row r="24" spans="2:3">
      <c r="B24" s="5" t="s">
        <v>151</v>
      </c>
      <c r="C24" t="s">
        <v>47</v>
      </c>
    </row>
    <row r="25" spans="2:3">
      <c r="B25" s="5" t="s">
        <v>152</v>
      </c>
      <c r="C25" t="s">
        <v>153</v>
      </c>
    </row>
    <row r="26" spans="2:3">
      <c r="B26" s="5" t="s">
        <v>154</v>
      </c>
      <c r="C26" t="s">
        <v>51</v>
      </c>
    </row>
    <row r="28" spans="2:3">
      <c r="B28" s="3" t="s">
        <v>155</v>
      </c>
      <c r="C28" s="3"/>
    </row>
    <row r="30" spans="2:3">
      <c r="B30" s="5" t="s">
        <v>48</v>
      </c>
      <c r="C30" t="s">
        <v>49</v>
      </c>
    </row>
    <row r="31" spans="2:3">
      <c r="B31" s="5" t="s">
        <v>50</v>
      </c>
      <c r="C31" t="s">
        <v>51</v>
      </c>
    </row>
    <row r="32" spans="2:3">
      <c r="B32" s="5" t="s">
        <v>52</v>
      </c>
      <c r="C32" t="s">
        <v>53</v>
      </c>
    </row>
    <row r="33" spans="2:3">
      <c r="B33" s="5" t="s">
        <v>7</v>
      </c>
      <c r="C33" t="s">
        <v>156</v>
      </c>
    </row>
  </sheetData>
  <mergeCells count="5">
    <mergeCell ref="B1:D1"/>
    <mergeCell ref="B3:D3"/>
    <mergeCell ref="B13:C13"/>
    <mergeCell ref="B20:C20"/>
    <mergeCell ref="B28:C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Executive_Summary</vt:lpstr>
      <vt:lpstr>Scenario_A</vt:lpstr>
      <vt:lpstr>Scenario_B</vt:lpstr>
      <vt:lpstr>Scenario_C</vt:lpstr>
      <vt:lpstr>Cash_Flows</vt:lpstr>
      <vt:lpstr>Value_Stack</vt:lpstr>
      <vt:lpstr>Cost_Inputs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2026-02-07T18:37:41Z</dcterms:created>
  <dcterms:modified xsi:type="dcterms:W3CDTF">2026-02-07T18:37:41Z</dcterms:modified>
</cp:coreProperties>
</file>