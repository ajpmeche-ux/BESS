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Results" sheetId="2" r:id="rId2"/>
    <sheet name="Cash_Flows" sheetId="3" r:id="rId3"/>
    <sheet name="Calculations" sheetId="4" r:id="rId4"/>
  </sheets>
  <definedNames>
    <definedName name="Build_Schedule">Inputs!$C$21:$E$30</definedName>
    <definedName name="Discount_Rate">Inputs!$C16</definedName>
    <definedName name="Learning_Rate">Inputs!$C81</definedName>
  </definedNames>
  <calcPr calcId="124519" fullCalcOnLoad="1"/>
</workbook>
</file>

<file path=xl/sharedStrings.xml><?xml version="1.0" encoding="utf-8"?>
<sst xmlns="http://schemas.openxmlformats.org/spreadsheetml/2006/main" count="126" uniqueCount="124">
  <si>
    <t>BESS Economic Analysis - JIT Cohort Model</t>
  </si>
  <si>
    <t>PROJECT BASICS</t>
  </si>
  <si>
    <t>Project Name</t>
  </si>
  <si>
    <t>BESS JIT Project</t>
  </si>
  <si>
    <t>Enter project name</t>
  </si>
  <si>
    <t>Project ID</t>
  </si>
  <si>
    <t>JIT-001</t>
  </si>
  <si>
    <t>Unique identifier</t>
  </si>
  <si>
    <t>Location</t>
  </si>
  <si>
    <t>Substation Z</t>
  </si>
  <si>
    <t>Site or market location</t>
  </si>
  <si>
    <t>Total Capacity (MW)</t>
  </si>
  <si>
    <t>Auto-summed from Build Schedule</t>
  </si>
  <si>
    <t>Duration (hours)</t>
  </si>
  <si>
    <t>Storage duration for each cohort</t>
  </si>
  <si>
    <t>Total Energy (MWh)</t>
  </si>
  <si>
    <t>Auto-calculated</t>
  </si>
  <si>
    <t>Analysis Period (years)</t>
  </si>
  <si>
    <t>Economic analysis horizon</t>
  </si>
  <si>
    <t>Discount Rate (%)</t>
  </si>
  <si>
    <t>Utility WACC</t>
  </si>
  <si>
    <t>Ownership Type</t>
  </si>
  <si>
    <t>Utility</t>
  </si>
  <si>
    <t>Utility or Merchant</t>
  </si>
  <si>
    <t>PHASED BUILD SCHEDULE</t>
  </si>
  <si>
    <t>Cohort</t>
  </si>
  <si>
    <t>COD (Year)</t>
  </si>
  <si>
    <t>Capacity (MW)</t>
  </si>
  <si>
    <t>ITC Rate (%)</t>
  </si>
  <si>
    <t>Tranche 1</t>
  </si>
  <si>
    <t>Tranche 2</t>
  </si>
  <si>
    <t>Tranche 3</t>
  </si>
  <si>
    <t>Tranche 4</t>
  </si>
  <si>
    <t>Tranche 5</t>
  </si>
  <si>
    <t>Tranche 6</t>
  </si>
  <si>
    <t>Tranche 7</t>
  </si>
  <si>
    <t>Tranche 8</t>
  </si>
  <si>
    <t>Tranche 9</t>
  </si>
  <si>
    <t>Tranche 10</t>
  </si>
  <si>
    <t>T&amp;D DEFERRAL</t>
  </si>
  <si>
    <t>Capital Cost (K)</t>
  </si>
  <si>
    <t>Upfront capital cost of the deferred asset</t>
  </si>
  <si>
    <t>Time Need (t_need)</t>
  </si>
  <si>
    <t>Year the traditional asset is needed</t>
  </si>
  <si>
    <t>Deferral Period (n)</t>
  </si>
  <si>
    <t>Number of years the asset is deferred</t>
  </si>
  <si>
    <t>Growth Rate (g)</t>
  </si>
  <si>
    <t>Annual growth rate of the capital cost</t>
  </si>
  <si>
    <t>PV of Deferral ($)</t>
  </si>
  <si>
    <t>Present value of the T&amp;D deferral benefit</t>
  </si>
  <si>
    <t>TECHNOLOGY SPECIFICATIONS</t>
  </si>
  <si>
    <t>Chemistry</t>
  </si>
  <si>
    <t>LFP</t>
  </si>
  <si>
    <t>LFP, NMC, or Other</t>
  </si>
  <si>
    <t>Round-Trip Efficiency (%)</t>
  </si>
  <si>
    <t>AC-AC efficiency</t>
  </si>
  <si>
    <t>Annual Degradation (%)</t>
  </si>
  <si>
    <t>Capacity loss per year</t>
  </si>
  <si>
    <t>Cycle Life</t>
  </si>
  <si>
    <t>Full-depth cycles before EOL</t>
  </si>
  <si>
    <t>Augmentation Year</t>
  </si>
  <si>
    <t>Year of battery replacement</t>
  </si>
  <si>
    <t>Cycles per Day</t>
  </si>
  <si>
    <t>Average daily charge/discharge cycles</t>
  </si>
  <si>
    <t>COST INPUTS (BESS)</t>
  </si>
  <si>
    <t>CapEx ($/kWh)</t>
  </si>
  <si>
    <t>$/kWh</t>
  </si>
  <si>
    <t>Installed capital cost per kWh</t>
  </si>
  <si>
    <t>Fixed O&amp;M ($/kW-year)</t>
  </si>
  <si>
    <t>$/kW-yr</t>
  </si>
  <si>
    <t>Annual fixed O&amp;M</t>
  </si>
  <si>
    <t>Variable O&amp;M ($/MWh)</t>
  </si>
  <si>
    <t>$/MWh</t>
  </si>
  <si>
    <t>Per-MWh discharge cost</t>
  </si>
  <si>
    <t>Augmentation Cost ($/kWh)</t>
  </si>
  <si>
    <t>Battery replacement cost</t>
  </si>
  <si>
    <t>Decommissioning ($/kW)</t>
  </si>
  <si>
    <t>$/kW</t>
  </si>
  <si>
    <t>End-of-life cost</t>
  </si>
  <si>
    <t>Charging Cost ($/MWh)</t>
  </si>
  <si>
    <t>Grid electricity cost for charging</t>
  </si>
  <si>
    <t>Residual Value (%)</t>
  </si>
  <si>
    <t>%</t>
  </si>
  <si>
    <t>End-of-life asset value as % of CapEx</t>
  </si>
  <si>
    <t>TAX CREDITS (BESS-Specific under IRA)</t>
  </si>
  <si>
    <t>ITC Base Rate (%)</t>
  </si>
  <si>
    <t>30% Investment Tax Credit under IRA</t>
  </si>
  <si>
    <t>ITC Adders (%)</t>
  </si>
  <si>
    <t>Energy community +10%, Domestic content +10%</t>
  </si>
  <si>
    <t>COST PROJECTIONS (Learning Curve)</t>
  </si>
  <si>
    <t>Annual Cost Decline Rate</t>
  </si>
  <si>
    <t>Technology learning rate (12% default)</t>
  </si>
  <si>
    <t>Cost Base Year</t>
  </si>
  <si>
    <t>Reference year for base costs</t>
  </si>
  <si>
    <t>Annual Cash Flow Projections (Cohort-Aggregated)</t>
  </si>
  <si>
    <t>Year</t>
  </si>
  <si>
    <t>CapEx</t>
  </si>
  <si>
    <t>O&amp;M</t>
  </si>
  <si>
    <t>Charging</t>
  </si>
  <si>
    <t>Total Costs</t>
  </si>
  <si>
    <t>Benefits</t>
  </si>
  <si>
    <t>Net CF</t>
  </si>
  <si>
    <t>PV Net CF</t>
  </si>
  <si>
    <t>TOTALS</t>
  </si>
  <si>
    <t>Calculation Engine (Cohort-Based)</t>
  </si>
  <si>
    <t>COHORT-BASED CALCULATIONS</t>
  </si>
  <si>
    <t>Total Capacity (kW)</t>
  </si>
  <si>
    <t>Sum of all cohort capacities in kW</t>
  </si>
  <si>
    <t>Total Energy (kWh)</t>
  </si>
  <si>
    <t>Sum of all cohort energies in kWh</t>
  </si>
  <si>
    <t>Total Battery CapEx ($)</t>
  </si>
  <si>
    <t>Sum of CapEx for each cohort, adjusted for learning rate based on COD</t>
  </si>
  <si>
    <t>Total ITC Credit ($)</t>
  </si>
  <si>
    <t>Sum of ITC for each cohort based on its specific CapEx</t>
  </si>
  <si>
    <t>Net Year 0 Cost ($)</t>
  </si>
  <si>
    <t>Total CapEx minus Total ITC</t>
  </si>
  <si>
    <t>BESS Economic Analysis Results</t>
  </si>
  <si>
    <t>KEY FINANCIAL METRICS</t>
  </si>
  <si>
    <t>Net Present Value (NPV)</t>
  </si>
  <si>
    <t>Present value of all cash flows</t>
  </si>
  <si>
    <t>T&amp;D Deferral PV</t>
  </si>
  <si>
    <t>Value from capital deferral</t>
  </si>
  <si>
    <t>Total Project Value</t>
  </si>
  <si>
    <t>NPV plus T&amp;D Deferral Value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</si>
</sst>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$#,##0"/>
  </numFmts>
  <fonts count="7">
    <font>
      <sz val="11"/>
      <color theme="1"/>
      <name val="Calibri"/>
      <family val="2"/>
      <scheme val="minor"/>
    </font>
    <font>
      <b/>
      <sz val="16"/>
      <color rgb="FF1565C0"/>
      <name val="Calibri"/>
      <family val="2"/>
      <scheme val="minor"/>
    </font>
    <font>
      <b/>
      <sz val="12"/>
      <color rgb="FF1565C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3F2FD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1565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0" fillId="3" borderId="1" xfId="0" applyFill="1" applyBorder="1"/>
    <xf numFmtId="0" fontId="4" fillId="0" borderId="0" xfId="0" applyFont="1"/>
    <xf numFmtId="0" fontId="3" fillId="4" borderId="1" xfId="0" applyFont="1" applyFill="1" applyBorder="1"/>
    <xf numFmtId="164" fontId="0" fillId="3" borderId="1" xfId="0" applyNumberFormat="1" applyFill="1" applyBorder="1"/>
    <xf numFmtId="0" fontId="5" fillId="5" borderId="1" xfId="0" applyFont="1" applyFill="1" applyBorder="1" applyAlignment="1">
      <alignment horizontal="center" vertical="center"/>
    </xf>
    <xf numFmtId="165" fontId="0" fillId="3" borderId="1" xfId="0" applyNumberFormat="1" applyFill="1" applyBorder="1"/>
    <xf numFmtId="166" fontId="0" fillId="4" borderId="1" xfId="0" applyNumberFormat="1" applyFill="1" applyBorder="1"/>
    <xf numFmtId="166" fontId="6" fillId="2" borderId="1" xfId="0" applyNumberFormat="1" applyFont="1" applyFill="1" applyBorder="1" applyAlignment="1">
      <alignment horizontal="center"/>
    </xf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E62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15.7109375" customWidth="1"/>
    <col min="5" max="5" width="45.7109375" customWidth="1"/>
  </cols>
  <sheetData>
    <row r="2" spans="2:5">
      <c r="B2" s="1" t="s">
        <v>0</v>
      </c>
      <c r="C2" s="1"/>
      <c r="D2" s="1"/>
      <c r="E2" s="1"/>
    </row>
    <row r="8" spans="2:5">
      <c r="B8" s="2" t="s">
        <v>1</v>
      </c>
      <c r="C8" s="2"/>
      <c r="D8" s="2"/>
      <c r="E8" s="2"/>
    </row>
    <row r="9" spans="2:5">
      <c r="B9" s="3" t="s">
        <v>2</v>
      </c>
      <c r="C9" s="4" t="s">
        <v>3</v>
      </c>
      <c r="E9" s="5" t="s">
        <v>4</v>
      </c>
    </row>
    <row r="10" spans="2:5">
      <c r="B10" s="3" t="s">
        <v>5</v>
      </c>
      <c r="C10" s="4" t="s">
        <v>6</v>
      </c>
      <c r="E10" s="5" t="s">
        <v>7</v>
      </c>
    </row>
    <row r="11" spans="2:5">
      <c r="B11" s="3" t="s">
        <v>8</v>
      </c>
      <c r="C11" s="4" t="s">
        <v>9</v>
      </c>
      <c r="E11" s="5" t="s">
        <v>10</v>
      </c>
    </row>
    <row r="12" spans="2:5">
      <c r="B12" s="3" t="s">
        <v>11</v>
      </c>
      <c r="C12" s="6">
        <f>SUM(D20:D29)</f>
        <v>0</v>
      </c>
      <c r="E12" s="5" t="s">
        <v>12</v>
      </c>
    </row>
    <row r="13" spans="2:5">
      <c r="B13" s="3" t="s">
        <v>13</v>
      </c>
      <c r="C13" s="4">
        <v>4</v>
      </c>
      <c r="E13" s="5" t="s">
        <v>14</v>
      </c>
    </row>
    <row r="14" spans="2:5">
      <c r="B14" s="3" t="s">
        <v>15</v>
      </c>
      <c r="C14" s="6">
        <f>C12*C13</f>
        <v>0</v>
      </c>
      <c r="E14" s="5" t="s">
        <v>16</v>
      </c>
    </row>
    <row r="15" spans="2:5">
      <c r="B15" s="3" t="s">
        <v>17</v>
      </c>
      <c r="C15" s="4">
        <v>20</v>
      </c>
      <c r="E15" s="5" t="s">
        <v>18</v>
      </c>
    </row>
    <row r="16" spans="2:5">
      <c r="B16" s="3" t="s">
        <v>19</v>
      </c>
      <c r="C16" s="7">
        <v>0.07000000000000001</v>
      </c>
      <c r="E16" s="5" t="s">
        <v>20</v>
      </c>
    </row>
    <row r="17" spans="2:5">
      <c r="B17" s="3" t="s">
        <v>21</v>
      </c>
      <c r="C17" s="4" t="s">
        <v>22</v>
      </c>
      <c r="E17" s="5" t="s">
        <v>23</v>
      </c>
    </row>
    <row r="19" spans="2:5">
      <c r="B19" s="2" t="s">
        <v>24</v>
      </c>
      <c r="C19" s="2"/>
      <c r="D19" s="2"/>
      <c r="E19" s="2"/>
    </row>
    <row r="20" spans="2:5">
      <c r="B20" s="8" t="s">
        <v>25</v>
      </c>
      <c r="C20" s="8" t="s">
        <v>26</v>
      </c>
      <c r="D20" s="8" t="s">
        <v>27</v>
      </c>
      <c r="E20" s="8" t="s">
        <v>28</v>
      </c>
    </row>
    <row r="21" spans="2:5">
      <c r="B21" t="s">
        <v>29</v>
      </c>
      <c r="C21" s="4">
        <v>0</v>
      </c>
      <c r="D21" s="4">
        <v>0</v>
      </c>
      <c r="E21" s="6">
        <f>IF(C21&gt;0, C54+C55, 0)</f>
        <v>0</v>
      </c>
    </row>
    <row r="22" spans="2:5">
      <c r="B22" t="s">
        <v>30</v>
      </c>
      <c r="C22" s="4">
        <v>0</v>
      </c>
      <c r="D22" s="4">
        <v>0</v>
      </c>
      <c r="E22" s="6">
        <f>IF(C22&gt;0, C54+C55, 0)</f>
        <v>0</v>
      </c>
    </row>
    <row r="23" spans="2:5">
      <c r="B23" t="s">
        <v>31</v>
      </c>
      <c r="C23" s="4">
        <v>0</v>
      </c>
      <c r="D23" s="4">
        <v>0</v>
      </c>
      <c r="E23" s="6">
        <f>IF(C23&gt;0, C54+C55, 0)</f>
        <v>0</v>
      </c>
    </row>
    <row r="24" spans="2:5">
      <c r="B24" t="s">
        <v>32</v>
      </c>
      <c r="C24" s="4">
        <v>0</v>
      </c>
      <c r="D24" s="4">
        <v>0</v>
      </c>
      <c r="E24" s="6">
        <f>IF(C24&gt;0, C54+C55, 0)</f>
        <v>0</v>
      </c>
    </row>
    <row r="25" spans="2:5">
      <c r="B25" t="s">
        <v>33</v>
      </c>
      <c r="C25" s="4">
        <v>0</v>
      </c>
      <c r="D25" s="4">
        <v>0</v>
      </c>
      <c r="E25" s="6">
        <f>IF(C25&gt;0, C54+C55, 0)</f>
        <v>0</v>
      </c>
    </row>
    <row r="26" spans="2:5">
      <c r="B26" t="s">
        <v>34</v>
      </c>
      <c r="C26" s="4">
        <v>0</v>
      </c>
      <c r="D26" s="4">
        <v>0</v>
      </c>
      <c r="E26" s="6">
        <f>IF(C26&gt;0, C54+C55, 0)</f>
        <v>0</v>
      </c>
    </row>
    <row r="27" spans="2:5">
      <c r="B27" t="s">
        <v>35</v>
      </c>
      <c r="C27" s="4">
        <v>0</v>
      </c>
      <c r="D27" s="4">
        <v>0</v>
      </c>
      <c r="E27" s="6">
        <f>IF(C27&gt;0, C54+C55, 0)</f>
        <v>0</v>
      </c>
    </row>
    <row r="28" spans="2:5">
      <c r="B28" t="s">
        <v>36</v>
      </c>
      <c r="C28" s="4">
        <v>0</v>
      </c>
      <c r="D28" s="4">
        <v>0</v>
      </c>
      <c r="E28" s="6">
        <f>IF(C28&gt;0, C54+C55, 0)</f>
        <v>0</v>
      </c>
    </row>
    <row r="29" spans="2:5">
      <c r="B29" t="s">
        <v>37</v>
      </c>
      <c r="C29" s="4">
        <v>0</v>
      </c>
      <c r="D29" s="4">
        <v>0</v>
      </c>
      <c r="E29" s="6">
        <f>IF(C29&gt;0, C54+C55, 0)</f>
        <v>0</v>
      </c>
    </row>
    <row r="30" spans="2:5">
      <c r="B30" t="s">
        <v>38</v>
      </c>
      <c r="C30" s="4">
        <v>0</v>
      </c>
      <c r="D30" s="4">
        <v>0</v>
      </c>
      <c r="E30" s="6">
        <f>IF(C30&gt;0, C54+C55, 0)</f>
        <v>0</v>
      </c>
    </row>
    <row r="32" spans="2:5">
      <c r="B32" s="2" t="s">
        <v>39</v>
      </c>
      <c r="C32" s="2"/>
      <c r="D32" s="2"/>
      <c r="E32" s="2"/>
    </row>
    <row r="33" spans="2:5">
      <c r="B33" s="3" t="s">
        <v>40</v>
      </c>
      <c r="C33" s="9">
        <v>100000000</v>
      </c>
      <c r="E33" s="5" t="s">
        <v>41</v>
      </c>
    </row>
    <row r="34" spans="2:5">
      <c r="B34" s="3" t="s">
        <v>42</v>
      </c>
      <c r="C34" s="9">
        <v>0</v>
      </c>
      <c r="E34" s="5" t="s">
        <v>43</v>
      </c>
    </row>
    <row r="35" spans="2:5">
      <c r="B35" s="3" t="s">
        <v>44</v>
      </c>
      <c r="C35" s="9">
        <v>5</v>
      </c>
      <c r="E35" s="5" t="s">
        <v>45</v>
      </c>
    </row>
    <row r="36" spans="2:5">
      <c r="B36" s="3" t="s">
        <v>46</v>
      </c>
      <c r="C36" s="9">
        <v>0.02</v>
      </c>
      <c r="E36" s="5" t="s">
        <v>47</v>
      </c>
    </row>
    <row r="37" spans="2:5">
      <c r="B37" s="3" t="s">
        <v>48</v>
      </c>
      <c r="C37" s="10">
        <f>C32*(1-((1+C35)/(1+C16))^C34)</f>
        <v>0</v>
      </c>
      <c r="E37" s="5" t="s">
        <v>49</v>
      </c>
    </row>
    <row r="39" spans="2:5">
      <c r="B39" s="2" t="s">
        <v>50</v>
      </c>
      <c r="C39" s="2"/>
      <c r="D39" s="2"/>
      <c r="E39" s="2"/>
    </row>
    <row r="40" spans="2:5">
      <c r="B40" s="3" t="s">
        <v>51</v>
      </c>
      <c r="C40" s="4" t="s">
        <v>52</v>
      </c>
      <c r="E40" s="5" t="s">
        <v>53</v>
      </c>
    </row>
    <row r="41" spans="2:5">
      <c r="B41" s="3" t="s">
        <v>54</v>
      </c>
      <c r="C41" s="7">
        <v>0.85</v>
      </c>
      <c r="E41" s="5" t="s">
        <v>55</v>
      </c>
    </row>
    <row r="42" spans="2:5">
      <c r="B42" s="3" t="s">
        <v>56</v>
      </c>
      <c r="C42" s="7">
        <v>0.025</v>
      </c>
      <c r="E42" s="5" t="s">
        <v>57</v>
      </c>
    </row>
    <row r="43" spans="2:5">
      <c r="B43" s="3" t="s">
        <v>58</v>
      </c>
      <c r="C43" s="4">
        <v>6000</v>
      </c>
      <c r="E43" s="5" t="s">
        <v>59</v>
      </c>
    </row>
    <row r="44" spans="2:5">
      <c r="B44" s="3" t="s">
        <v>60</v>
      </c>
      <c r="C44" s="4">
        <v>12</v>
      </c>
      <c r="E44" s="5" t="s">
        <v>61</v>
      </c>
    </row>
    <row r="45" spans="2:5">
      <c r="B45" s="3" t="s">
        <v>62</v>
      </c>
      <c r="C45" s="4">
        <v>1</v>
      </c>
      <c r="E45" s="5" t="s">
        <v>63</v>
      </c>
    </row>
    <row r="47" spans="2:5">
      <c r="B47" s="2" t="s">
        <v>64</v>
      </c>
      <c r="C47" s="2"/>
      <c r="D47" s="2"/>
      <c r="E47" s="2"/>
    </row>
    <row r="48" spans="2:5">
      <c r="B48" s="3" t="s">
        <v>65</v>
      </c>
      <c r="C48" s="9">
        <v>160</v>
      </c>
      <c r="D48" t="s">
        <v>66</v>
      </c>
      <c r="E48" s="5" t="s">
        <v>67</v>
      </c>
    </row>
    <row r="49" spans="2:5">
      <c r="B49" s="3" t="s">
        <v>68</v>
      </c>
      <c r="C49" s="9">
        <v>25</v>
      </c>
      <c r="D49" t="s">
        <v>69</v>
      </c>
      <c r="E49" s="5" t="s">
        <v>70</v>
      </c>
    </row>
    <row r="50" spans="2:5">
      <c r="B50" s="3" t="s">
        <v>71</v>
      </c>
      <c r="C50" s="9">
        <v>0</v>
      </c>
      <c r="D50" t="s">
        <v>72</v>
      </c>
      <c r="E50" s="5" t="s">
        <v>73</v>
      </c>
    </row>
    <row r="51" spans="2:5">
      <c r="B51" s="3" t="s">
        <v>74</v>
      </c>
      <c r="C51" s="9">
        <v>55</v>
      </c>
      <c r="D51" t="s">
        <v>66</v>
      </c>
      <c r="E51" s="5" t="s">
        <v>75</v>
      </c>
    </row>
    <row r="52" spans="2:5">
      <c r="B52" s="3" t="s">
        <v>76</v>
      </c>
      <c r="C52" s="9">
        <v>10</v>
      </c>
      <c r="D52" t="s">
        <v>77</v>
      </c>
      <c r="E52" s="5" t="s">
        <v>78</v>
      </c>
    </row>
    <row r="53" spans="2:5">
      <c r="B53" s="3" t="s">
        <v>79</v>
      </c>
      <c r="C53" s="9">
        <v>30</v>
      </c>
      <c r="D53" t="s">
        <v>72</v>
      </c>
      <c r="E53" s="5" t="s">
        <v>80</v>
      </c>
    </row>
    <row r="54" spans="2:5">
      <c r="B54" s="3" t="s">
        <v>81</v>
      </c>
      <c r="C54" s="7">
        <v>0.1</v>
      </c>
      <c r="D54" t="s">
        <v>82</v>
      </c>
      <c r="E54" s="5" t="s">
        <v>83</v>
      </c>
    </row>
    <row r="56" spans="2:5">
      <c r="B56" s="2" t="s">
        <v>84</v>
      </c>
      <c r="C56" s="2"/>
      <c r="D56" s="2"/>
      <c r="E56" s="2"/>
    </row>
    <row r="57" spans="2:5">
      <c r="B57" s="3" t="s">
        <v>85</v>
      </c>
      <c r="C57" s="7">
        <v>0.3</v>
      </c>
      <c r="E57" s="5" t="s">
        <v>86</v>
      </c>
    </row>
    <row r="58" spans="2:5">
      <c r="B58" s="3" t="s">
        <v>87</v>
      </c>
      <c r="C58" s="7">
        <v>0</v>
      </c>
      <c r="E58" s="5" t="s">
        <v>88</v>
      </c>
    </row>
    <row r="60" spans="2:5">
      <c r="B60" s="2" t="s">
        <v>89</v>
      </c>
      <c r="C60" s="2"/>
      <c r="D60" s="2"/>
      <c r="E60" s="2"/>
    </row>
    <row r="61" spans="2:5">
      <c r="B61" s="3" t="s">
        <v>90</v>
      </c>
      <c r="C61" s="7">
        <v>0.12</v>
      </c>
      <c r="E61" s="5" t="s">
        <v>91</v>
      </c>
    </row>
    <row r="62" spans="2:5">
      <c r="B62" s="3" t="s">
        <v>92</v>
      </c>
      <c r="C62" s="4">
        <v>2024</v>
      </c>
      <c r="E62" s="5" t="s">
        <v>93</v>
      </c>
    </row>
  </sheetData>
  <mergeCells count="8">
    <mergeCell ref="B2:E2"/>
    <mergeCell ref="B8:E8"/>
    <mergeCell ref="B19:E19"/>
    <mergeCell ref="B32:E32"/>
    <mergeCell ref="B39:E39"/>
    <mergeCell ref="B47:E47"/>
    <mergeCell ref="B56:E56"/>
    <mergeCell ref="B60:E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D7"/>
  <sheetViews>
    <sheetView workbookViewId="0"/>
  </sheetViews>
  <sheetFormatPr defaultRowHeight="15"/>
  <cols>
    <col min="2" max="2" width="25.7109375" customWidth="1"/>
    <col min="3" max="3" width="20.7109375" customWidth="1"/>
  </cols>
  <sheetData>
    <row r="2" spans="2:4">
      <c r="B2" s="1" t="s">
        <v>116</v>
      </c>
    </row>
    <row r="4" spans="2:4">
      <c r="B4" s="2" t="s">
        <v>117</v>
      </c>
      <c r="C4" s="2"/>
    </row>
    <row r="5" spans="2:4">
      <c r="B5" s="3" t="s">
        <v>118</v>
      </c>
      <c r="C5" s="11">
        <f>Cash_Flows!I26</f>
        <v>0</v>
      </c>
      <c r="D5" s="5" t="s">
        <v>119</v>
      </c>
    </row>
    <row r="6" spans="2:4">
      <c r="B6" s="3" t="s">
        <v>120</v>
      </c>
      <c r="C6" s="11">
        <f>Inputs!C36</f>
        <v>0</v>
      </c>
      <c r="D6" s="5" t="s">
        <v>121</v>
      </c>
    </row>
    <row r="7" spans="2:4">
      <c r="B7" s="3" t="s">
        <v>122</v>
      </c>
      <c r="C7" s="11">
        <f>Cash_Flows!I26 + Inputs!C36</f>
        <v>0</v>
      </c>
      <c r="D7" s="5" t="s">
        <v>123</v>
      </c>
    </row>
  </sheetData>
  <mergeCells count="1">
    <mergeCell ref="B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I26"/>
  <sheetViews>
    <sheetView workbookViewId="0"/>
  </sheetViews>
  <sheetFormatPr defaultRowHeight="15"/>
  <cols>
    <col min="2" max="2" width="8.7109375" customWidth="1"/>
    <col min="3" max="22" width="14.7109375" customWidth="1"/>
  </cols>
  <sheetData>
    <row r="2" spans="2:9">
      <c r="B2" s="1" t="s">
        <v>94</v>
      </c>
    </row>
    <row r="4" spans="2:9">
      <c r="B4" s="8" t="s">
        <v>95</v>
      </c>
      <c r="C4" s="8" t="s">
        <v>96</v>
      </c>
      <c r="D4" s="8" t="s">
        <v>97</v>
      </c>
      <c r="E4" s="8" t="s">
        <v>98</v>
      </c>
      <c r="F4" s="8" t="s">
        <v>99</v>
      </c>
      <c r="G4" s="8" t="s">
        <v>100</v>
      </c>
      <c r="H4" s="8" t="s">
        <v>101</v>
      </c>
      <c r="I4" s="8" t="s">
        <v>102</v>
      </c>
    </row>
    <row r="5" spans="2:9">
      <c r="B5">
        <v>0</v>
      </c>
      <c r="C5" s="12">
        <f>SUMPRODUCT(--(INDEX(Build_Schedule,,1)=0), INDEX(Build_Schedule,,2)*1000*Inputs!C13*Inputs!C46*(1-Inputs!C81)^(0-Inputs!C82))</f>
        <v>0</v>
      </c>
      <c r="D5" s="12">
        <f>SUMPRODUCT(--(INDEX(Build_Schedule,,1)&lt;=0), INDEX(Build_Schedule,,2)*1000*Inputs!C47)</f>
        <v>0</v>
      </c>
      <c r="E5" s="12">
        <f>SUMPRODUCT(--(INDEX(Build_Schedule,,1)&lt;=0), INDEX(Build_Schedule,,2)*1000*Inputs!C13*Inputs!C44*365*Inputs!C51)</f>
        <v>0</v>
      </c>
      <c r="F5" s="10">
        <f>SUM(C5:E5)</f>
        <v>0</v>
      </c>
      <c r="G5" s="12">
        <f>SUMPRODUCT(--(INDEX(Build_Schedule,,1)&lt;=0), INDEX(Build_Schedule,,2)*1000 * (1-Inputs!C41)^(0-INDEX(Build_Schedule,,1))) * (Inputs!C72*(1+Inputs!D72)^0)</f>
        <v>0</v>
      </c>
      <c r="H5" s="10">
        <f>G5 - F5 + (=SUMPRODUCT(--(INDEX(Build_Schedule,,1)=0), INDEX(Build_Schedule,,2)*1000*Inputs!C13*Inputs!C46*(1-Inputs!C81)^(0-Inputs!C82)*INDEX(Build_Schedule,,3)))</f>
        <v>0</v>
      </c>
      <c r="I5" s="12">
        <f>H5/(1+Inputs!C16)^0</f>
        <v>0</v>
      </c>
    </row>
    <row r="6" spans="2:9">
      <c r="B6">
        <v>1</v>
      </c>
      <c r="C6" s="12">
        <f>SUMPRODUCT(--(INDEX(Build_Schedule,,1)=1), INDEX(Build_Schedule,,2)*1000*Inputs!C13*Inputs!C46*(1-Inputs!C81)^(1-Inputs!C82))</f>
        <v>0</v>
      </c>
      <c r="D6" s="12">
        <f>SUMPRODUCT(--(INDEX(Build_Schedule,,1)&lt;=1), INDEX(Build_Schedule,,2)*1000*Inputs!C47)</f>
        <v>0</v>
      </c>
      <c r="E6" s="12">
        <f>SUMPRODUCT(--(INDEX(Build_Schedule,,1)&lt;=1), INDEX(Build_Schedule,,2)*1000*Inputs!C13*Inputs!C44*365*Inputs!C51)</f>
        <v>0</v>
      </c>
      <c r="F6" s="10">
        <f>SUM(C6:E6)</f>
        <v>0</v>
      </c>
      <c r="G6" s="12">
        <f>SUMPRODUCT(--(INDEX(Build_Schedule,,1)&lt;=1), INDEX(Build_Schedule,,2)*1000 * (1-Inputs!C41)^(1-INDEX(Build_Schedule,,1))) * (Inputs!C72*(1+Inputs!D72)^1)</f>
        <v>0</v>
      </c>
      <c r="H6" s="10">
        <f>G6 - F6 + (=SUMPRODUCT(--(INDEX(Build_Schedule,,1)=1), INDEX(Build_Schedule,,2)*1000*Inputs!C13*Inputs!C46*(1-Inputs!C81)^(1-Inputs!C82)*INDEX(Build_Schedule,,3)))</f>
        <v>0</v>
      </c>
      <c r="I6" s="12">
        <f>H6/(1+Inputs!C16)^1</f>
        <v>0</v>
      </c>
    </row>
    <row r="7" spans="2:9">
      <c r="B7">
        <v>2</v>
      </c>
      <c r="C7" s="12">
        <f>SUMPRODUCT(--(INDEX(Build_Schedule,,1)=2), INDEX(Build_Schedule,,2)*1000*Inputs!C13*Inputs!C46*(1-Inputs!C81)^(2-Inputs!C82))</f>
        <v>0</v>
      </c>
      <c r="D7" s="12">
        <f>SUMPRODUCT(--(INDEX(Build_Schedule,,1)&lt;=2), INDEX(Build_Schedule,,2)*1000*Inputs!C47)</f>
        <v>0</v>
      </c>
      <c r="E7" s="12">
        <f>SUMPRODUCT(--(INDEX(Build_Schedule,,1)&lt;=2), INDEX(Build_Schedule,,2)*1000*Inputs!C13*Inputs!C44*365*Inputs!C51)</f>
        <v>0</v>
      </c>
      <c r="F7" s="10">
        <f>SUM(C7:E7)</f>
        <v>0</v>
      </c>
      <c r="G7" s="12">
        <f>SUMPRODUCT(--(INDEX(Build_Schedule,,1)&lt;=2), INDEX(Build_Schedule,,2)*1000 * (1-Inputs!C41)^(2-INDEX(Build_Schedule,,1))) * (Inputs!C72*(1+Inputs!D72)^2)</f>
        <v>0</v>
      </c>
      <c r="H7" s="10">
        <f>G7 - F7 + (=SUMPRODUCT(--(INDEX(Build_Schedule,,1)=2), INDEX(Build_Schedule,,2)*1000*Inputs!C13*Inputs!C46*(1-Inputs!C81)^(2-Inputs!C82)*INDEX(Build_Schedule,,3)))</f>
        <v>0</v>
      </c>
      <c r="I7" s="12">
        <f>H7/(1+Inputs!C16)^2</f>
        <v>0</v>
      </c>
    </row>
    <row r="8" spans="2:9">
      <c r="B8">
        <v>3</v>
      </c>
      <c r="C8" s="12">
        <f>SUMPRODUCT(--(INDEX(Build_Schedule,,1)=3), INDEX(Build_Schedule,,2)*1000*Inputs!C13*Inputs!C46*(1-Inputs!C81)^(3-Inputs!C82))</f>
        <v>0</v>
      </c>
      <c r="D8" s="12">
        <f>SUMPRODUCT(--(INDEX(Build_Schedule,,1)&lt;=3), INDEX(Build_Schedule,,2)*1000*Inputs!C47)</f>
        <v>0</v>
      </c>
      <c r="E8" s="12">
        <f>SUMPRODUCT(--(INDEX(Build_Schedule,,1)&lt;=3), INDEX(Build_Schedule,,2)*1000*Inputs!C13*Inputs!C44*365*Inputs!C51)</f>
        <v>0</v>
      </c>
      <c r="F8" s="10">
        <f>SUM(C8:E8)</f>
        <v>0</v>
      </c>
      <c r="G8" s="12">
        <f>SUMPRODUCT(--(INDEX(Build_Schedule,,1)&lt;=3), INDEX(Build_Schedule,,2)*1000 * (1-Inputs!C41)^(3-INDEX(Build_Schedule,,1))) * (Inputs!C72*(1+Inputs!D72)^3)</f>
        <v>0</v>
      </c>
      <c r="H8" s="10">
        <f>G8 - F8 + (=SUMPRODUCT(--(INDEX(Build_Schedule,,1)=3), INDEX(Build_Schedule,,2)*1000*Inputs!C13*Inputs!C46*(1-Inputs!C81)^(3-Inputs!C82)*INDEX(Build_Schedule,,3)))</f>
        <v>0</v>
      </c>
      <c r="I8" s="12">
        <f>H8/(1+Inputs!C16)^3</f>
        <v>0</v>
      </c>
    </row>
    <row r="9" spans="2:9">
      <c r="B9">
        <v>4</v>
      </c>
      <c r="C9" s="12">
        <f>SUMPRODUCT(--(INDEX(Build_Schedule,,1)=4), INDEX(Build_Schedule,,2)*1000*Inputs!C13*Inputs!C46*(1-Inputs!C81)^(4-Inputs!C82))</f>
        <v>0</v>
      </c>
      <c r="D9" s="12">
        <f>SUMPRODUCT(--(INDEX(Build_Schedule,,1)&lt;=4), INDEX(Build_Schedule,,2)*1000*Inputs!C47)</f>
        <v>0</v>
      </c>
      <c r="E9" s="12">
        <f>SUMPRODUCT(--(INDEX(Build_Schedule,,1)&lt;=4), INDEX(Build_Schedule,,2)*1000*Inputs!C13*Inputs!C44*365*Inputs!C51)</f>
        <v>0</v>
      </c>
      <c r="F9" s="10">
        <f>SUM(C9:E9)</f>
        <v>0</v>
      </c>
      <c r="G9" s="12">
        <f>SUMPRODUCT(--(INDEX(Build_Schedule,,1)&lt;=4), INDEX(Build_Schedule,,2)*1000 * (1-Inputs!C41)^(4-INDEX(Build_Schedule,,1))) * (Inputs!C72*(1+Inputs!D72)^4)</f>
        <v>0</v>
      </c>
      <c r="H9" s="10">
        <f>G9 - F9 + (=SUMPRODUCT(--(INDEX(Build_Schedule,,1)=4), INDEX(Build_Schedule,,2)*1000*Inputs!C13*Inputs!C46*(1-Inputs!C81)^(4-Inputs!C82)*INDEX(Build_Schedule,,3)))</f>
        <v>0</v>
      </c>
      <c r="I9" s="12">
        <f>H9/(1+Inputs!C16)^4</f>
        <v>0</v>
      </c>
    </row>
    <row r="10" spans="2:9">
      <c r="B10">
        <v>5</v>
      </c>
      <c r="C10" s="12">
        <f>SUMPRODUCT(--(INDEX(Build_Schedule,,1)=5), INDEX(Build_Schedule,,2)*1000*Inputs!C13*Inputs!C46*(1-Inputs!C81)^(5-Inputs!C82))</f>
        <v>0</v>
      </c>
      <c r="D10" s="12">
        <f>SUMPRODUCT(--(INDEX(Build_Schedule,,1)&lt;=5), INDEX(Build_Schedule,,2)*1000*Inputs!C47)</f>
        <v>0</v>
      </c>
      <c r="E10" s="12">
        <f>SUMPRODUCT(--(INDEX(Build_Schedule,,1)&lt;=5), INDEX(Build_Schedule,,2)*1000*Inputs!C13*Inputs!C44*365*Inputs!C51)</f>
        <v>0</v>
      </c>
      <c r="F10" s="10">
        <f>SUM(C10:E10)</f>
        <v>0</v>
      </c>
      <c r="G10" s="12">
        <f>SUMPRODUCT(--(INDEX(Build_Schedule,,1)&lt;=5), INDEX(Build_Schedule,,2)*1000 * (1-Inputs!C41)^(5-INDEX(Build_Schedule,,1))) * (Inputs!C72*(1+Inputs!D72)^5)</f>
        <v>0</v>
      </c>
      <c r="H10" s="10">
        <f>G10 - F10 + (=SUMPRODUCT(--(INDEX(Build_Schedule,,1)=5), INDEX(Build_Schedule,,2)*1000*Inputs!C13*Inputs!C46*(1-Inputs!C81)^(5-Inputs!C82)*INDEX(Build_Schedule,,3)))</f>
        <v>0</v>
      </c>
      <c r="I10" s="12">
        <f>H10/(1+Inputs!C16)^5</f>
        <v>0</v>
      </c>
    </row>
    <row r="11" spans="2:9">
      <c r="B11">
        <v>6</v>
      </c>
      <c r="C11" s="12">
        <f>SUMPRODUCT(--(INDEX(Build_Schedule,,1)=6), INDEX(Build_Schedule,,2)*1000*Inputs!C13*Inputs!C46*(1-Inputs!C81)^(6-Inputs!C82))</f>
        <v>0</v>
      </c>
      <c r="D11" s="12">
        <f>SUMPRODUCT(--(INDEX(Build_Schedule,,1)&lt;=6), INDEX(Build_Schedule,,2)*1000*Inputs!C47)</f>
        <v>0</v>
      </c>
      <c r="E11" s="12">
        <f>SUMPRODUCT(--(INDEX(Build_Schedule,,1)&lt;=6), INDEX(Build_Schedule,,2)*1000*Inputs!C13*Inputs!C44*365*Inputs!C51)</f>
        <v>0</v>
      </c>
      <c r="F11" s="10">
        <f>SUM(C11:E11)</f>
        <v>0</v>
      </c>
      <c r="G11" s="12">
        <f>SUMPRODUCT(--(INDEX(Build_Schedule,,1)&lt;=6), INDEX(Build_Schedule,,2)*1000 * (1-Inputs!C41)^(6-INDEX(Build_Schedule,,1))) * (Inputs!C72*(1+Inputs!D72)^6)</f>
        <v>0</v>
      </c>
      <c r="H11" s="10">
        <f>G11 - F11 + (=SUMPRODUCT(--(INDEX(Build_Schedule,,1)=6), INDEX(Build_Schedule,,2)*1000*Inputs!C13*Inputs!C46*(1-Inputs!C81)^(6-Inputs!C82)*INDEX(Build_Schedule,,3)))</f>
        <v>0</v>
      </c>
      <c r="I11" s="12">
        <f>H11/(1+Inputs!C16)^6</f>
        <v>0</v>
      </c>
    </row>
    <row r="12" spans="2:9">
      <c r="B12">
        <v>7</v>
      </c>
      <c r="C12" s="12">
        <f>SUMPRODUCT(--(INDEX(Build_Schedule,,1)=7), INDEX(Build_Schedule,,2)*1000*Inputs!C13*Inputs!C46*(1-Inputs!C81)^(7-Inputs!C82))</f>
        <v>0</v>
      </c>
      <c r="D12" s="12">
        <f>SUMPRODUCT(--(INDEX(Build_Schedule,,1)&lt;=7), INDEX(Build_Schedule,,2)*1000*Inputs!C47)</f>
        <v>0</v>
      </c>
      <c r="E12" s="12">
        <f>SUMPRODUCT(--(INDEX(Build_Schedule,,1)&lt;=7), INDEX(Build_Schedule,,2)*1000*Inputs!C13*Inputs!C44*365*Inputs!C51)</f>
        <v>0</v>
      </c>
      <c r="F12" s="10">
        <f>SUM(C12:E12)</f>
        <v>0</v>
      </c>
      <c r="G12" s="12">
        <f>SUMPRODUCT(--(INDEX(Build_Schedule,,1)&lt;=7), INDEX(Build_Schedule,,2)*1000 * (1-Inputs!C41)^(7-INDEX(Build_Schedule,,1))) * (Inputs!C72*(1+Inputs!D72)^7)</f>
        <v>0</v>
      </c>
      <c r="H12" s="10">
        <f>G12 - F12 + (=SUMPRODUCT(--(INDEX(Build_Schedule,,1)=7), INDEX(Build_Schedule,,2)*1000*Inputs!C13*Inputs!C46*(1-Inputs!C81)^(7-Inputs!C82)*INDEX(Build_Schedule,,3)))</f>
        <v>0</v>
      </c>
      <c r="I12" s="12">
        <f>H12/(1+Inputs!C16)^7</f>
        <v>0</v>
      </c>
    </row>
    <row r="13" spans="2:9">
      <c r="B13">
        <v>8</v>
      </c>
      <c r="C13" s="12">
        <f>SUMPRODUCT(--(INDEX(Build_Schedule,,1)=8), INDEX(Build_Schedule,,2)*1000*Inputs!C13*Inputs!C46*(1-Inputs!C81)^(8-Inputs!C82))</f>
        <v>0</v>
      </c>
      <c r="D13" s="12">
        <f>SUMPRODUCT(--(INDEX(Build_Schedule,,1)&lt;=8), INDEX(Build_Schedule,,2)*1000*Inputs!C47)</f>
        <v>0</v>
      </c>
      <c r="E13" s="12">
        <f>SUMPRODUCT(--(INDEX(Build_Schedule,,1)&lt;=8), INDEX(Build_Schedule,,2)*1000*Inputs!C13*Inputs!C44*365*Inputs!C51)</f>
        <v>0</v>
      </c>
      <c r="F13" s="10">
        <f>SUM(C13:E13)</f>
        <v>0</v>
      </c>
      <c r="G13" s="12">
        <f>SUMPRODUCT(--(INDEX(Build_Schedule,,1)&lt;=8), INDEX(Build_Schedule,,2)*1000 * (1-Inputs!C41)^(8-INDEX(Build_Schedule,,1))) * (Inputs!C72*(1+Inputs!D72)^8)</f>
        <v>0</v>
      </c>
      <c r="H13" s="10">
        <f>G13 - F13 + (=SUMPRODUCT(--(INDEX(Build_Schedule,,1)=8), INDEX(Build_Schedule,,2)*1000*Inputs!C13*Inputs!C46*(1-Inputs!C81)^(8-Inputs!C82)*INDEX(Build_Schedule,,3)))</f>
        <v>0</v>
      </c>
      <c r="I13" s="12">
        <f>H13/(1+Inputs!C16)^8</f>
        <v>0</v>
      </c>
    </row>
    <row r="14" spans="2:9">
      <c r="B14">
        <v>9</v>
      </c>
      <c r="C14" s="12">
        <f>SUMPRODUCT(--(INDEX(Build_Schedule,,1)=9), INDEX(Build_Schedule,,2)*1000*Inputs!C13*Inputs!C46*(1-Inputs!C81)^(9-Inputs!C82))</f>
        <v>0</v>
      </c>
      <c r="D14" s="12">
        <f>SUMPRODUCT(--(INDEX(Build_Schedule,,1)&lt;=9), INDEX(Build_Schedule,,2)*1000*Inputs!C47)</f>
        <v>0</v>
      </c>
      <c r="E14" s="12">
        <f>SUMPRODUCT(--(INDEX(Build_Schedule,,1)&lt;=9), INDEX(Build_Schedule,,2)*1000*Inputs!C13*Inputs!C44*365*Inputs!C51)</f>
        <v>0</v>
      </c>
      <c r="F14" s="10">
        <f>SUM(C14:E14)</f>
        <v>0</v>
      </c>
      <c r="G14" s="12">
        <f>SUMPRODUCT(--(INDEX(Build_Schedule,,1)&lt;=9), INDEX(Build_Schedule,,2)*1000 * (1-Inputs!C41)^(9-INDEX(Build_Schedule,,1))) * (Inputs!C72*(1+Inputs!D72)^9)</f>
        <v>0</v>
      </c>
      <c r="H14" s="10">
        <f>G14 - F14 + (=SUMPRODUCT(--(INDEX(Build_Schedule,,1)=9), INDEX(Build_Schedule,,2)*1000*Inputs!C13*Inputs!C46*(1-Inputs!C81)^(9-Inputs!C82)*INDEX(Build_Schedule,,3)))</f>
        <v>0</v>
      </c>
      <c r="I14" s="12">
        <f>H14/(1+Inputs!C16)^9</f>
        <v>0</v>
      </c>
    </row>
    <row r="15" spans="2:9">
      <c r="B15">
        <v>10</v>
      </c>
      <c r="C15" s="12">
        <f>SUMPRODUCT(--(INDEX(Build_Schedule,,1)=10), INDEX(Build_Schedule,,2)*1000*Inputs!C13*Inputs!C46*(1-Inputs!C81)^(10-Inputs!C82))</f>
        <v>0</v>
      </c>
      <c r="D15" s="12">
        <f>SUMPRODUCT(--(INDEX(Build_Schedule,,1)&lt;=10), INDEX(Build_Schedule,,2)*1000*Inputs!C47)</f>
        <v>0</v>
      </c>
      <c r="E15" s="12">
        <f>SUMPRODUCT(--(INDEX(Build_Schedule,,1)&lt;=10), INDEX(Build_Schedule,,2)*1000*Inputs!C13*Inputs!C44*365*Inputs!C51)</f>
        <v>0</v>
      </c>
      <c r="F15" s="10">
        <f>SUM(C15:E15)</f>
        <v>0</v>
      </c>
      <c r="G15" s="12">
        <f>SUMPRODUCT(--(INDEX(Build_Schedule,,1)&lt;=10), INDEX(Build_Schedule,,2)*1000 * (1-Inputs!C41)^(10-INDEX(Build_Schedule,,1))) * (Inputs!C72*(1+Inputs!D72)^10)</f>
        <v>0</v>
      </c>
      <c r="H15" s="10">
        <f>G15 - F15 + (=SUMPRODUCT(--(INDEX(Build_Schedule,,1)=10), INDEX(Build_Schedule,,2)*1000*Inputs!C13*Inputs!C46*(1-Inputs!C81)^(10-Inputs!C82)*INDEX(Build_Schedule,,3)))</f>
        <v>0</v>
      </c>
      <c r="I15" s="12">
        <f>H15/(1+Inputs!C16)^10</f>
        <v>0</v>
      </c>
    </row>
    <row r="16" spans="2:9">
      <c r="B16">
        <v>11</v>
      </c>
      <c r="C16" s="12">
        <f>SUMPRODUCT(--(INDEX(Build_Schedule,,1)=11), INDEX(Build_Schedule,,2)*1000*Inputs!C13*Inputs!C46*(1-Inputs!C81)^(11-Inputs!C82))</f>
        <v>0</v>
      </c>
      <c r="D16" s="12">
        <f>SUMPRODUCT(--(INDEX(Build_Schedule,,1)&lt;=11), INDEX(Build_Schedule,,2)*1000*Inputs!C47)</f>
        <v>0</v>
      </c>
      <c r="E16" s="12">
        <f>SUMPRODUCT(--(INDEX(Build_Schedule,,1)&lt;=11), INDEX(Build_Schedule,,2)*1000*Inputs!C13*Inputs!C44*365*Inputs!C51)</f>
        <v>0</v>
      </c>
      <c r="F16" s="10">
        <f>SUM(C16:E16)</f>
        <v>0</v>
      </c>
      <c r="G16" s="12">
        <f>SUMPRODUCT(--(INDEX(Build_Schedule,,1)&lt;=11), INDEX(Build_Schedule,,2)*1000 * (1-Inputs!C41)^(11-INDEX(Build_Schedule,,1))) * (Inputs!C72*(1+Inputs!D72)^11)</f>
        <v>0</v>
      </c>
      <c r="H16" s="10">
        <f>G16 - F16 + (=SUMPRODUCT(--(INDEX(Build_Schedule,,1)=11), INDEX(Build_Schedule,,2)*1000*Inputs!C13*Inputs!C46*(1-Inputs!C81)^(11-Inputs!C82)*INDEX(Build_Schedule,,3)))</f>
        <v>0</v>
      </c>
      <c r="I16" s="12">
        <f>H16/(1+Inputs!C16)^11</f>
        <v>0</v>
      </c>
    </row>
    <row r="17" spans="2:9">
      <c r="B17">
        <v>12</v>
      </c>
      <c r="C17" s="12">
        <f>SUMPRODUCT(--(INDEX(Build_Schedule,,1)=12), INDEX(Build_Schedule,,2)*1000*Inputs!C13*Inputs!C46*(1-Inputs!C81)^(12-Inputs!C82))</f>
        <v>0</v>
      </c>
      <c r="D17" s="12">
        <f>SUMPRODUCT(--(INDEX(Build_Schedule,,1)&lt;=12), INDEX(Build_Schedule,,2)*1000*Inputs!C47)</f>
        <v>0</v>
      </c>
      <c r="E17" s="12">
        <f>SUMPRODUCT(--(INDEX(Build_Schedule,,1)&lt;=12), INDEX(Build_Schedule,,2)*1000*Inputs!C13*Inputs!C44*365*Inputs!C51)</f>
        <v>0</v>
      </c>
      <c r="F17" s="10">
        <f>SUM(C17:E17)</f>
        <v>0</v>
      </c>
      <c r="G17" s="12">
        <f>SUMPRODUCT(--(INDEX(Build_Schedule,,1)&lt;=12), INDEX(Build_Schedule,,2)*1000 * (1-Inputs!C41)^(12-INDEX(Build_Schedule,,1))) * (Inputs!C72*(1+Inputs!D72)^12)</f>
        <v>0</v>
      </c>
      <c r="H17" s="10">
        <f>G17 - F17 + (=SUMPRODUCT(--(INDEX(Build_Schedule,,1)=12), INDEX(Build_Schedule,,2)*1000*Inputs!C13*Inputs!C46*(1-Inputs!C81)^(12-Inputs!C82)*INDEX(Build_Schedule,,3)))</f>
        <v>0</v>
      </c>
      <c r="I17" s="12">
        <f>H17/(1+Inputs!C16)^12</f>
        <v>0</v>
      </c>
    </row>
    <row r="18" spans="2:9">
      <c r="B18">
        <v>13</v>
      </c>
      <c r="C18" s="12">
        <f>SUMPRODUCT(--(INDEX(Build_Schedule,,1)=13), INDEX(Build_Schedule,,2)*1000*Inputs!C13*Inputs!C46*(1-Inputs!C81)^(13-Inputs!C82))</f>
        <v>0</v>
      </c>
      <c r="D18" s="12">
        <f>SUMPRODUCT(--(INDEX(Build_Schedule,,1)&lt;=13), INDEX(Build_Schedule,,2)*1000*Inputs!C47)</f>
        <v>0</v>
      </c>
      <c r="E18" s="12">
        <f>SUMPRODUCT(--(INDEX(Build_Schedule,,1)&lt;=13), INDEX(Build_Schedule,,2)*1000*Inputs!C13*Inputs!C44*365*Inputs!C51)</f>
        <v>0</v>
      </c>
      <c r="F18" s="10">
        <f>SUM(C18:E18)</f>
        <v>0</v>
      </c>
      <c r="G18" s="12">
        <f>SUMPRODUCT(--(INDEX(Build_Schedule,,1)&lt;=13), INDEX(Build_Schedule,,2)*1000 * (1-Inputs!C41)^(13-INDEX(Build_Schedule,,1))) * (Inputs!C72*(1+Inputs!D72)^13)</f>
        <v>0</v>
      </c>
      <c r="H18" s="10">
        <f>G18 - F18 + (=SUMPRODUCT(--(INDEX(Build_Schedule,,1)=13), INDEX(Build_Schedule,,2)*1000*Inputs!C13*Inputs!C46*(1-Inputs!C81)^(13-Inputs!C82)*INDEX(Build_Schedule,,3)))</f>
        <v>0</v>
      </c>
      <c r="I18" s="12">
        <f>H18/(1+Inputs!C16)^13</f>
        <v>0</v>
      </c>
    </row>
    <row r="19" spans="2:9">
      <c r="B19">
        <v>14</v>
      </c>
      <c r="C19" s="12">
        <f>SUMPRODUCT(--(INDEX(Build_Schedule,,1)=14), INDEX(Build_Schedule,,2)*1000*Inputs!C13*Inputs!C46*(1-Inputs!C81)^(14-Inputs!C82))</f>
        <v>0</v>
      </c>
      <c r="D19" s="12">
        <f>SUMPRODUCT(--(INDEX(Build_Schedule,,1)&lt;=14), INDEX(Build_Schedule,,2)*1000*Inputs!C47)</f>
        <v>0</v>
      </c>
      <c r="E19" s="12">
        <f>SUMPRODUCT(--(INDEX(Build_Schedule,,1)&lt;=14), INDEX(Build_Schedule,,2)*1000*Inputs!C13*Inputs!C44*365*Inputs!C51)</f>
        <v>0</v>
      </c>
      <c r="F19" s="10">
        <f>SUM(C19:E19)</f>
        <v>0</v>
      </c>
      <c r="G19" s="12">
        <f>SUMPRODUCT(--(INDEX(Build_Schedule,,1)&lt;=14), INDEX(Build_Schedule,,2)*1000 * (1-Inputs!C41)^(14-INDEX(Build_Schedule,,1))) * (Inputs!C72*(1+Inputs!D72)^14)</f>
        <v>0</v>
      </c>
      <c r="H19" s="10">
        <f>G19 - F19 + (=SUMPRODUCT(--(INDEX(Build_Schedule,,1)=14), INDEX(Build_Schedule,,2)*1000*Inputs!C13*Inputs!C46*(1-Inputs!C81)^(14-Inputs!C82)*INDEX(Build_Schedule,,3)))</f>
        <v>0</v>
      </c>
      <c r="I19" s="12">
        <f>H19/(1+Inputs!C16)^14</f>
        <v>0</v>
      </c>
    </row>
    <row r="20" spans="2:9">
      <c r="B20">
        <v>15</v>
      </c>
      <c r="C20" s="12">
        <f>SUMPRODUCT(--(INDEX(Build_Schedule,,1)=15), INDEX(Build_Schedule,,2)*1000*Inputs!C13*Inputs!C46*(1-Inputs!C81)^(15-Inputs!C82))</f>
        <v>0</v>
      </c>
      <c r="D20" s="12">
        <f>SUMPRODUCT(--(INDEX(Build_Schedule,,1)&lt;=15), INDEX(Build_Schedule,,2)*1000*Inputs!C47)</f>
        <v>0</v>
      </c>
      <c r="E20" s="12">
        <f>SUMPRODUCT(--(INDEX(Build_Schedule,,1)&lt;=15), INDEX(Build_Schedule,,2)*1000*Inputs!C13*Inputs!C44*365*Inputs!C51)</f>
        <v>0</v>
      </c>
      <c r="F20" s="10">
        <f>SUM(C20:E20)</f>
        <v>0</v>
      </c>
      <c r="G20" s="12">
        <f>SUMPRODUCT(--(INDEX(Build_Schedule,,1)&lt;=15), INDEX(Build_Schedule,,2)*1000 * (1-Inputs!C41)^(15-INDEX(Build_Schedule,,1))) * (Inputs!C72*(1+Inputs!D72)^15)</f>
        <v>0</v>
      </c>
      <c r="H20" s="10">
        <f>G20 - F20 + (=SUMPRODUCT(--(INDEX(Build_Schedule,,1)=15), INDEX(Build_Schedule,,2)*1000*Inputs!C13*Inputs!C46*(1-Inputs!C81)^(15-Inputs!C82)*INDEX(Build_Schedule,,3)))</f>
        <v>0</v>
      </c>
      <c r="I20" s="12">
        <f>H20/(1+Inputs!C16)^15</f>
        <v>0</v>
      </c>
    </row>
    <row r="21" spans="2:9">
      <c r="B21">
        <v>16</v>
      </c>
      <c r="C21" s="12">
        <f>SUMPRODUCT(--(INDEX(Build_Schedule,,1)=16), INDEX(Build_Schedule,,2)*1000*Inputs!C13*Inputs!C46*(1-Inputs!C81)^(16-Inputs!C82))</f>
        <v>0</v>
      </c>
      <c r="D21" s="12">
        <f>SUMPRODUCT(--(INDEX(Build_Schedule,,1)&lt;=16), INDEX(Build_Schedule,,2)*1000*Inputs!C47)</f>
        <v>0</v>
      </c>
      <c r="E21" s="12">
        <f>SUMPRODUCT(--(INDEX(Build_Schedule,,1)&lt;=16), INDEX(Build_Schedule,,2)*1000*Inputs!C13*Inputs!C44*365*Inputs!C51)</f>
        <v>0</v>
      </c>
      <c r="F21" s="10">
        <f>SUM(C21:E21)</f>
        <v>0</v>
      </c>
      <c r="G21" s="12">
        <f>SUMPRODUCT(--(INDEX(Build_Schedule,,1)&lt;=16), INDEX(Build_Schedule,,2)*1000 * (1-Inputs!C41)^(16-INDEX(Build_Schedule,,1))) * (Inputs!C72*(1+Inputs!D72)^16)</f>
        <v>0</v>
      </c>
      <c r="H21" s="10">
        <f>G21 - F21 + (=SUMPRODUCT(--(INDEX(Build_Schedule,,1)=16), INDEX(Build_Schedule,,2)*1000*Inputs!C13*Inputs!C46*(1-Inputs!C81)^(16-Inputs!C82)*INDEX(Build_Schedule,,3)))</f>
        <v>0</v>
      </c>
      <c r="I21" s="12">
        <f>H21/(1+Inputs!C16)^16</f>
        <v>0</v>
      </c>
    </row>
    <row r="22" spans="2:9">
      <c r="B22">
        <v>17</v>
      </c>
      <c r="C22" s="12">
        <f>SUMPRODUCT(--(INDEX(Build_Schedule,,1)=17), INDEX(Build_Schedule,,2)*1000*Inputs!C13*Inputs!C46*(1-Inputs!C81)^(17-Inputs!C82))</f>
        <v>0</v>
      </c>
      <c r="D22" s="12">
        <f>SUMPRODUCT(--(INDEX(Build_Schedule,,1)&lt;=17), INDEX(Build_Schedule,,2)*1000*Inputs!C47)</f>
        <v>0</v>
      </c>
      <c r="E22" s="12">
        <f>SUMPRODUCT(--(INDEX(Build_Schedule,,1)&lt;=17), INDEX(Build_Schedule,,2)*1000*Inputs!C13*Inputs!C44*365*Inputs!C51)</f>
        <v>0</v>
      </c>
      <c r="F22" s="10">
        <f>SUM(C22:E22)</f>
        <v>0</v>
      </c>
      <c r="G22" s="12">
        <f>SUMPRODUCT(--(INDEX(Build_Schedule,,1)&lt;=17), INDEX(Build_Schedule,,2)*1000 * (1-Inputs!C41)^(17-INDEX(Build_Schedule,,1))) * (Inputs!C72*(1+Inputs!D72)^17)</f>
        <v>0</v>
      </c>
      <c r="H22" s="10">
        <f>G22 - F22 + (=SUMPRODUCT(--(INDEX(Build_Schedule,,1)=17), INDEX(Build_Schedule,,2)*1000*Inputs!C13*Inputs!C46*(1-Inputs!C81)^(17-Inputs!C82)*INDEX(Build_Schedule,,3)))</f>
        <v>0</v>
      </c>
      <c r="I22" s="12">
        <f>H22/(1+Inputs!C16)^17</f>
        <v>0</v>
      </c>
    </row>
    <row r="23" spans="2:9">
      <c r="B23">
        <v>18</v>
      </c>
      <c r="C23" s="12">
        <f>SUMPRODUCT(--(INDEX(Build_Schedule,,1)=18), INDEX(Build_Schedule,,2)*1000*Inputs!C13*Inputs!C46*(1-Inputs!C81)^(18-Inputs!C82))</f>
        <v>0</v>
      </c>
      <c r="D23" s="12">
        <f>SUMPRODUCT(--(INDEX(Build_Schedule,,1)&lt;=18), INDEX(Build_Schedule,,2)*1000*Inputs!C47)</f>
        <v>0</v>
      </c>
      <c r="E23" s="12">
        <f>SUMPRODUCT(--(INDEX(Build_Schedule,,1)&lt;=18), INDEX(Build_Schedule,,2)*1000*Inputs!C13*Inputs!C44*365*Inputs!C51)</f>
        <v>0</v>
      </c>
      <c r="F23" s="10">
        <f>SUM(C23:E23)</f>
        <v>0</v>
      </c>
      <c r="G23" s="12">
        <f>SUMPRODUCT(--(INDEX(Build_Schedule,,1)&lt;=18), INDEX(Build_Schedule,,2)*1000 * (1-Inputs!C41)^(18-INDEX(Build_Schedule,,1))) * (Inputs!C72*(1+Inputs!D72)^18)</f>
        <v>0</v>
      </c>
      <c r="H23" s="10">
        <f>G23 - F23 + (=SUMPRODUCT(--(INDEX(Build_Schedule,,1)=18), INDEX(Build_Schedule,,2)*1000*Inputs!C13*Inputs!C46*(1-Inputs!C81)^(18-Inputs!C82)*INDEX(Build_Schedule,,3)))</f>
        <v>0</v>
      </c>
      <c r="I23" s="12">
        <f>H23/(1+Inputs!C16)^18</f>
        <v>0</v>
      </c>
    </row>
    <row r="24" spans="2:9">
      <c r="B24">
        <v>19</v>
      </c>
      <c r="C24" s="12">
        <f>SUMPRODUCT(--(INDEX(Build_Schedule,,1)=19), INDEX(Build_Schedule,,2)*1000*Inputs!C13*Inputs!C46*(1-Inputs!C81)^(19-Inputs!C82))</f>
        <v>0</v>
      </c>
      <c r="D24" s="12">
        <f>SUMPRODUCT(--(INDEX(Build_Schedule,,1)&lt;=19), INDEX(Build_Schedule,,2)*1000*Inputs!C47)</f>
        <v>0</v>
      </c>
      <c r="E24" s="12">
        <f>SUMPRODUCT(--(INDEX(Build_Schedule,,1)&lt;=19), INDEX(Build_Schedule,,2)*1000*Inputs!C13*Inputs!C44*365*Inputs!C51)</f>
        <v>0</v>
      </c>
      <c r="F24" s="10">
        <f>SUM(C24:E24)</f>
        <v>0</v>
      </c>
      <c r="G24" s="12">
        <f>SUMPRODUCT(--(INDEX(Build_Schedule,,1)&lt;=19), INDEX(Build_Schedule,,2)*1000 * (1-Inputs!C41)^(19-INDEX(Build_Schedule,,1))) * (Inputs!C72*(1+Inputs!D72)^19)</f>
        <v>0</v>
      </c>
      <c r="H24" s="10">
        <f>G24 - F24 + (=SUMPRODUCT(--(INDEX(Build_Schedule,,1)=19), INDEX(Build_Schedule,,2)*1000*Inputs!C13*Inputs!C46*(1-Inputs!C81)^(19-Inputs!C82)*INDEX(Build_Schedule,,3)))</f>
        <v>0</v>
      </c>
      <c r="I24" s="12">
        <f>H24/(1+Inputs!C16)^19</f>
        <v>0</v>
      </c>
    </row>
    <row r="25" spans="2:9">
      <c r="B25">
        <v>20</v>
      </c>
      <c r="C25" s="12">
        <f>SUMPRODUCT(--(INDEX(Build_Schedule,,1)=20), INDEX(Build_Schedule,,2)*1000*Inputs!C13*Inputs!C46*(1-Inputs!C81)^(20-Inputs!C82))</f>
        <v>0</v>
      </c>
      <c r="D25" s="12">
        <f>SUMPRODUCT(--(INDEX(Build_Schedule,,1)&lt;=20), INDEX(Build_Schedule,,2)*1000*Inputs!C47)</f>
        <v>0</v>
      </c>
      <c r="E25" s="12">
        <f>SUMPRODUCT(--(INDEX(Build_Schedule,,1)&lt;=20), INDEX(Build_Schedule,,2)*1000*Inputs!C13*Inputs!C44*365*Inputs!C51)</f>
        <v>0</v>
      </c>
      <c r="F25" s="10">
        <f>SUM(C25:E25)</f>
        <v>0</v>
      </c>
      <c r="G25" s="12">
        <f>SUMPRODUCT(--(INDEX(Build_Schedule,,1)&lt;=20), INDEX(Build_Schedule,,2)*1000 * (1-Inputs!C41)^(20-INDEX(Build_Schedule,,1))) * (Inputs!C72*(1+Inputs!D72)^20)</f>
        <v>0</v>
      </c>
      <c r="H25" s="10">
        <f>G25 - F25 + (=SUMPRODUCT(--(INDEX(Build_Schedule,,1)=20), INDEX(Build_Schedule,,2)*1000*Inputs!C13*Inputs!C46*(1-Inputs!C81)^(20-Inputs!C82)*INDEX(Build_Schedule,,3)))</f>
        <v>0</v>
      </c>
      <c r="I25" s="12">
        <f>H25/(1+Inputs!C16)^20</f>
        <v>0</v>
      </c>
    </row>
    <row r="26" spans="2:9">
      <c r="B26" s="3" t="s">
        <v>103</v>
      </c>
      <c r="I26" s="10">
        <f>SUM(I5:I25)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D9"/>
  <sheetViews>
    <sheetView workbookViewId="0"/>
  </sheetViews>
  <sheetFormatPr defaultRowHeight="15"/>
  <cols>
    <col min="1" max="1" width="5.7109375" customWidth="1"/>
    <col min="2" max="2" width="35.7109375" customWidth="1"/>
    <col min="3" max="3" width="20.7109375" customWidth="1"/>
    <col min="4" max="4" width="60.7109375" customWidth="1"/>
  </cols>
  <sheetData>
    <row r="2" spans="2:4">
      <c r="B2" s="1" t="s">
        <v>104</v>
      </c>
    </row>
    <row r="4" spans="2:4">
      <c r="B4" s="2" t="s">
        <v>105</v>
      </c>
      <c r="C4" s="2"/>
      <c r="D4" s="2"/>
    </row>
    <row r="5" spans="2:4">
      <c r="B5" s="3" t="s">
        <v>106</v>
      </c>
      <c r="C5" s="10">
        <f>Inputs!C12*1000</f>
        <v>0</v>
      </c>
      <c r="D5" s="5" t="s">
        <v>107</v>
      </c>
    </row>
    <row r="6" spans="2:4">
      <c r="B6" s="3" t="s">
        <v>108</v>
      </c>
      <c r="C6" s="10">
        <f>Inputs!C14*1000</f>
        <v>0</v>
      </c>
      <c r="D6" s="5" t="s">
        <v>109</v>
      </c>
    </row>
    <row r="7" spans="2:4">
      <c r="B7" s="3" t="s">
        <v>110</v>
      </c>
      <c r="C7" s="10">
        <f>SUMPRODUCT(INDEX(Build_Schedule,,2)*1000*Inputs!C13, Inputs!C46*(1-Inputs!C81)^(INDEX(Build_Schedule,,1)-Inputs!C82))</f>
        <v>0</v>
      </c>
      <c r="D7" s="5" t="s">
        <v>111</v>
      </c>
    </row>
    <row r="8" spans="2:4">
      <c r="B8" s="3" t="s">
        <v>112</v>
      </c>
      <c r="C8" s="10">
        <f>SUMPRODUCT(INDEX(Build_Schedule,,2)*1000*Inputs!C13, Inputs!C46*(1-Inputs!C81)^(INDEX(Build_Schedule,,1)-Inputs!C82), INDEX(Build_Schedule,,3))</f>
        <v>0</v>
      </c>
      <c r="D8" s="5" t="s">
        <v>113</v>
      </c>
    </row>
    <row r="9" spans="2:4">
      <c r="B9" s="3" t="s">
        <v>114</v>
      </c>
      <c r="C9" s="10">
        <f>C7-C8</f>
        <v>0</v>
      </c>
      <c r="D9" s="5" t="s">
        <v>115</v>
      </c>
    </row>
  </sheetData>
  <mergeCells count="1"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Inputs</vt:lpstr>
      <vt:lpstr>Results</vt:lpstr>
      <vt:lpstr>Cash_Flows</vt:lpstr>
      <vt:lpstr>Calculations</vt:lpstr>
      <vt:lpstr>Build_Schedule</vt:lpstr>
      <vt:lpstr>Discount_Rate</vt:lpstr>
      <vt:lpstr>Learning_Rate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2026-02-20T18:42:49Z</dcterms:created>
  <dcterms:modified xsi:type="dcterms:W3CDTF">2026-02-20T18:42:49Z</dcterms:modified>
</cp:coreProperties>
</file>